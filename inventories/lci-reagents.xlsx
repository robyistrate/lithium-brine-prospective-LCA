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leidenuniv1-my.sharepoint.com/personal/istrateir_vuw_leidenuniv_nl/Documents/Research/lithium-brine-prospective-LCA/inventories/"/>
    </mc:Choice>
  </mc:AlternateContent>
  <xr:revisionPtr revIDLastSave="1506" documentId="11_AD4DB114E441178AC67DF4902691E15C683EDF20" xr6:coauthVersionLast="47" xr6:coauthVersionMax="47" xr10:uidLastSave="{CACB063C-4F72-4CF5-A514-0C5B00E2D6BB}"/>
  <bookViews>
    <workbookView xWindow="-28920" yWindow="-990" windowWidth="29040" windowHeight="15720" xr2:uid="{00000000-000D-0000-FFFF-FFFF00000000}"/>
  </bookViews>
  <sheets>
    <sheet name="lci-reage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1" l="1"/>
  <c r="D32" i="1"/>
  <c r="D31" i="1"/>
  <c r="D30" i="1"/>
  <c r="D63" i="1"/>
  <c r="D62" i="1"/>
  <c r="D61" i="1"/>
  <c r="D60" i="1"/>
  <c r="D90" i="1"/>
  <c r="D89" i="1"/>
  <c r="D88" i="1"/>
  <c r="D84" i="1" l="1"/>
  <c r="D83" i="1"/>
  <c r="H100" i="1"/>
  <c r="E100" i="1"/>
  <c r="D100" i="1"/>
  <c r="C100" i="1"/>
  <c r="B100" i="1"/>
  <c r="A100" i="1"/>
  <c r="H125" i="1"/>
  <c r="E125" i="1"/>
  <c r="D125" i="1"/>
  <c r="C125" i="1"/>
  <c r="B125" i="1"/>
  <c r="A125" i="1"/>
  <c r="H11" i="1"/>
  <c r="E11" i="1"/>
  <c r="D11" i="1"/>
  <c r="C11" i="1"/>
  <c r="B11" i="1"/>
  <c r="A11" i="1"/>
  <c r="H43" i="1"/>
  <c r="E43" i="1"/>
  <c r="D43" i="1"/>
  <c r="C43" i="1"/>
  <c r="B43" i="1"/>
  <c r="A43" i="1"/>
  <c r="D78" i="1"/>
  <c r="H73" i="1"/>
  <c r="D74" i="1"/>
  <c r="E73" i="1"/>
  <c r="D73" i="1"/>
  <c r="C73" i="1"/>
  <c r="B73" i="1"/>
  <c r="A73" i="1"/>
</calcChain>
</file>

<file path=xl/sharedStrings.xml><?xml version="1.0" encoding="utf-8"?>
<sst xmlns="http://schemas.openxmlformats.org/spreadsheetml/2006/main" count="641" uniqueCount="103">
  <si>
    <t>database</t>
  </si>
  <si>
    <t>Activity</t>
  </si>
  <si>
    <t>reference product</t>
  </si>
  <si>
    <t>location</t>
  </si>
  <si>
    <t>GLO</t>
  </si>
  <si>
    <t>production amount</t>
  </si>
  <si>
    <t>unit</t>
  </si>
  <si>
    <t>kilogram</t>
  </si>
  <si>
    <t>comment</t>
  </si>
  <si>
    <t>Exchanges</t>
  </si>
  <si>
    <t>name</t>
  </si>
  <si>
    <t>amount</t>
  </si>
  <si>
    <t>type</t>
  </si>
  <si>
    <t>categories</t>
  </si>
  <si>
    <t>production</t>
  </si>
  <si>
    <t>technosphere</t>
  </si>
  <si>
    <t>market group for electricity, medium voltage</t>
  </si>
  <si>
    <t>electricity, medium voltage</t>
  </si>
  <si>
    <t>kilowatt hour</t>
  </si>
  <si>
    <t>megajoule</t>
  </si>
  <si>
    <t>RoW</t>
  </si>
  <si>
    <t>Carbon dioxide, fossil</t>
  </si>
  <si>
    <t>biosphere</t>
  </si>
  <si>
    <t>air</t>
  </si>
  <si>
    <t>reagents</t>
  </si>
  <si>
    <t>soda ash, light</t>
  </si>
  <si>
    <t>cubic meter</t>
  </si>
  <si>
    <t>Water, unspecified natural origin</t>
  </si>
  <si>
    <t>natural resource::in water</t>
  </si>
  <si>
    <t>Carbon monoxide, fossil</t>
  </si>
  <si>
    <t>Nitrogen oxides</t>
  </si>
  <si>
    <t>This activity represents the production of natural soda ash from trona. Based on US LCA Commons database: "Soda ash is produced using either of two processes - the monohydrate process or the sesquicarbonate process. The monohydrate process is the dominant process The mined ore is screened and crushed, then the crushed ore is calcined to decompose the sodium sesquicarbonate in the trona ore, releasing carbon dioxide and water and leaving anhydrous sodium carbonate and insoluble impurities. The calcined trona is dissolved in water where the insoluble material settles out, leaving a sodium carbonate solution which is filtered and sent to multistage evaporative crystallizers. The settled and filtered insolubles are sent to tailings waste ponds. The crystallizers produce soda ash as monohydrate crystals which are recovered in centrifuges and then dried to remove the water, producing granular dense soda ash. The sesquicarbonate process dissolves trona in water and that solution is settled to remove insolubles and filtered to a clean solution. That solution is then sent to multistage crystallizers where sesquicarbonate crystals are formed. The sesquicarbonate crystals are recovered in centrifuges and sent to a calciner, where water and carbon dioxide are driven off by heat to form medium density granular soda ash. Several of the US soda ash producers make a portion of their soda ash by dissolving trona in water below the surface, bringing the solution to the surface through wells, and then recovering the sodium carbonate on the surface. One facility recovers trona from a shallow mixed salt deposits by injecting lake water into the formation and recovering via wells as a saturated brine." (https://lcacommons.gov/lca-collaboration/National_Renewable_Energy_Laboratory/USLCI_Database_Public/dataset/PROCESS/0d95cc8b-a9a0-3630-a760-1ab4d88257d8?commitId=7d7143983462ce7c48bf8d64bccbe5cafda11c45?gladview=true)</t>
  </si>
  <si>
    <t>Iron and steel, production mix</t>
  </si>
  <si>
    <t>Quicklime, at plant</t>
  </si>
  <si>
    <t>diesel, burned in building machine</t>
  </si>
  <si>
    <t>market for diesel, burned in building machine</t>
  </si>
  <si>
    <t>steel, low-alloyed</t>
  </si>
  <si>
    <t>market for steel, low-alloyed</t>
  </si>
  <si>
    <t>cement, Portland</t>
  </si>
  <si>
    <t>market for cement, Portland</t>
  </si>
  <si>
    <t>biosphere3</t>
  </si>
  <si>
    <t>Gasoline, combusted in equipment + Diesel, combusted in industrial equipment</t>
  </si>
  <si>
    <t>activated carbon, granular</t>
  </si>
  <si>
    <t>market for activated carbon, granular</t>
  </si>
  <si>
    <t>quicklime, milled, packed</t>
  </si>
  <si>
    <t>market for quicklime, milled, packed</t>
  </si>
  <si>
    <t>soda ash production, trona process</t>
  </si>
  <si>
    <t>soda ash production, Solvay process</t>
  </si>
  <si>
    <t>market for limestone, crushed, washed</t>
  </si>
  <si>
    <t>limestone, crushed, washed</t>
  </si>
  <si>
    <t>market for sodium chloride, brine solution</t>
  </si>
  <si>
    <t>sodium chloride, brine solution</t>
  </si>
  <si>
    <t>market for ammonia, anhydrous, liquid</t>
  </si>
  <si>
    <t>ammonia, anhydrous, liquid</t>
  </si>
  <si>
    <t>market for coke</t>
  </si>
  <si>
    <t>coke</t>
  </si>
  <si>
    <t>treatment of inert waste, inert material landfill</t>
  </si>
  <si>
    <t>inert waste, for final disposal</t>
  </si>
  <si>
    <t>chemical factory, organics</t>
  </si>
  <si>
    <t>Ammonia</t>
  </si>
  <si>
    <t>Sulfur oxides</t>
  </si>
  <si>
    <t>Particulate Matter, &gt; 2.5 um and &lt; 10um</t>
  </si>
  <si>
    <t>market for chemical factory, organics</t>
  </si>
  <si>
    <t>heat production, at hard coal industrial furnace 1-10MW</t>
  </si>
  <si>
    <t>heat, district or industrial, other than natural gas</t>
  </si>
  <si>
    <t>heat production, natural gas, at industrial furnace &gt;100kW</t>
  </si>
  <si>
    <t>heat, district or industrial, natural gas</t>
  </si>
  <si>
    <t>heat production, wood chips from industry, at furnace 1000kW, state-of-the-art 2014</t>
  </si>
  <si>
    <t>soda ash production, Solvay process with carbon capture and storage</t>
  </si>
  <si>
    <t>quicklime production, PFRK, milled, loose</t>
  </si>
  <si>
    <t>quicklime, milled, loose</t>
  </si>
  <si>
    <t xml:space="preserve">heat, from municipal waste incineration to generic market for heat district or industrial, other than natural gas </t>
  </si>
  <si>
    <t xml:space="preserve">heat production, heavy fuel oil, at industrial furnace 1MW   </t>
  </si>
  <si>
    <t>estimated assuming 3.7 MJ heat/kg quicklime and the fuel mix: 53% coal, 34% natural gas, 8% waste, 3% oil, 2% biomass</t>
  </si>
  <si>
    <t>cement factory</t>
  </si>
  <si>
    <t>market for cement factory</t>
  </si>
  <si>
    <t>assumption from Foteinis et al. (2022)</t>
  </si>
  <si>
    <t>industrial machine, heavy, unspecified</t>
  </si>
  <si>
    <t>market for industrial machine, heavy, unspecified</t>
  </si>
  <si>
    <t>market for inert waste, for final disposal</t>
  </si>
  <si>
    <t>quicklime production, PFRK with carbon capture and storage, milled, loose</t>
  </si>
  <si>
    <t>carbon dioxide, stored</t>
  </si>
  <si>
    <t>carbon dioxide compression, transport and storage</t>
  </si>
  <si>
    <t>stoichiometric CO2 emission due to calcination</t>
  </si>
  <si>
    <t>Water</t>
  </si>
  <si>
    <t>ecoinvent v3.10.1 data for unallocated system</t>
  </si>
  <si>
    <t>water</t>
  </si>
  <si>
    <t>Water, cooling, unspecified natural origin</t>
  </si>
  <si>
    <t>RER</t>
  </si>
  <si>
    <t>ecoinvent v3.10.1; diesel used for on-site transportation</t>
  </si>
  <si>
    <t>1.8 kg limestone including 3% that is rejected as fine limestone</t>
  </si>
  <si>
    <t>rejected fines limestone (3% of input)</t>
  </si>
  <si>
    <t>stoichiometric CO2 emission due to calcination; applied 100% capture efficiency</t>
  </si>
  <si>
    <t>market for carbon dioxide, liquid</t>
  </si>
  <si>
    <t>carbon dioxide, liquid</t>
  </si>
  <si>
    <t>ecoinvent-3.10.1-cutoff</t>
  </si>
  <si>
    <t>market for chlorine, gaseous</t>
  </si>
  <si>
    <t>chlorine, gaseous</t>
  </si>
  <si>
    <t>market for non-sulfidic tailing, off-site</t>
  </si>
  <si>
    <t>non-sulfidic tailing, off-site</t>
  </si>
  <si>
    <t>market for monoethanolamine</t>
  </si>
  <si>
    <t>monoethanolamine</t>
  </si>
  <si>
    <t>premise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</si>
</sst>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left"/>
    </xf>
    <xf numFmtId="0" fontId="0" fillId="0" borderId="0" xfId="0" applyAlignment="1">
      <alignment horizontal="left"/>
    </xf>
    <xf numFmtId="0" fontId="0" fillId="3" borderId="0" xfId="0" applyFill="1" applyAlignment="1">
      <alignment horizontal="left"/>
    </xf>
    <xf numFmtId="0" fontId="0" fillId="3" borderId="0" xfId="0" applyFill="1"/>
    <xf numFmtId="0" fontId="1" fillId="0" borderId="0" xfId="0" applyFont="1" applyAlignment="1">
      <alignment horizontal="left"/>
    </xf>
    <xf numFmtId="164" fontId="0" fillId="0" borderId="0" xfId="0" applyNumberFormat="1" applyAlignment="1">
      <alignment horizontal="left"/>
    </xf>
    <xf numFmtId="11" fontId="0" fillId="0" borderId="0" xfId="0" applyNumberFormat="1" applyAlignment="1">
      <alignment horizontal="left"/>
    </xf>
    <xf numFmtId="11" fontId="0" fillId="0" borderId="0" xfId="0" applyNumberFormat="1"/>
    <xf numFmtId="0" fontId="0" fillId="4" borderId="0" xfId="0" applyFill="1"/>
    <xf numFmtId="11" fontId="0" fillId="4" borderId="0" xfId="0" applyNumberFormat="1" applyFill="1" applyAlignment="1">
      <alignment horizontal="left"/>
    </xf>
    <xf numFmtId="0" fontId="0" fillId="4" borderId="0" xfId="0" applyFill="1" applyAlignment="1">
      <alignment horizontal="left"/>
    </xf>
    <xf numFmtId="164" fontId="0" fillId="4" borderId="0" xfId="0" applyNumberFormat="1" applyFill="1" applyAlignment="1">
      <alignment horizontal="left"/>
    </xf>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0"/>
  <sheetViews>
    <sheetView tabSelected="1" topLeftCell="A31" zoomScale="70" zoomScaleNormal="70" workbookViewId="0">
      <selection activeCell="B48" sqref="B48"/>
    </sheetView>
  </sheetViews>
  <sheetFormatPr defaultRowHeight="15" x14ac:dyDescent="0.25"/>
  <cols>
    <col min="1" max="1" width="79.85546875" bestFit="1" customWidth="1"/>
    <col min="2" max="2" width="64.42578125" customWidth="1"/>
    <col min="4" max="4" width="12.42578125" style="2" bestFit="1" customWidth="1"/>
    <col min="5" max="5" width="12.85546875" bestFit="1" customWidth="1"/>
    <col min="6" max="6" width="14.5703125" bestFit="1" customWidth="1"/>
    <col min="7" max="8" width="24.28515625" bestFit="1" customWidth="1"/>
  </cols>
  <sheetData>
    <row r="1" spans="1:15" x14ac:dyDescent="0.25">
      <c r="A1" s="1" t="s">
        <v>0</v>
      </c>
      <c r="B1" s="1" t="s">
        <v>24</v>
      </c>
      <c r="C1" s="2"/>
      <c r="E1" s="2"/>
      <c r="F1" s="2"/>
      <c r="G1" s="2"/>
      <c r="I1" s="2"/>
      <c r="J1" s="2"/>
      <c r="O1" s="2"/>
    </row>
    <row r="2" spans="1:15" s="4" customFormat="1" x14ac:dyDescent="0.25">
      <c r="A2" s="3"/>
      <c r="B2" s="3"/>
      <c r="C2" s="3"/>
      <c r="D2" s="3"/>
      <c r="E2" s="3"/>
      <c r="F2" s="3"/>
      <c r="G2" s="3"/>
      <c r="I2" s="3"/>
      <c r="J2" s="3"/>
      <c r="O2" s="3"/>
    </row>
    <row r="3" spans="1:15" x14ac:dyDescent="0.25">
      <c r="A3" s="5" t="s">
        <v>1</v>
      </c>
      <c r="B3" s="5" t="s">
        <v>68</v>
      </c>
      <c r="C3" s="2"/>
      <c r="E3" s="2"/>
      <c r="F3" s="2"/>
      <c r="G3" s="2"/>
      <c r="I3" s="2"/>
      <c r="J3" s="2"/>
      <c r="O3" s="2"/>
    </row>
    <row r="4" spans="1:15" x14ac:dyDescent="0.25">
      <c r="A4" s="5" t="s">
        <v>2</v>
      </c>
      <c r="B4" s="2" t="s">
        <v>25</v>
      </c>
      <c r="C4" s="2"/>
      <c r="E4" s="2"/>
      <c r="F4" s="2"/>
      <c r="G4" s="2"/>
      <c r="I4" s="2"/>
      <c r="J4" s="2"/>
      <c r="O4" s="2"/>
    </row>
    <row r="5" spans="1:15" x14ac:dyDescent="0.25">
      <c r="A5" s="5" t="s">
        <v>3</v>
      </c>
      <c r="B5" s="2" t="s">
        <v>4</v>
      </c>
      <c r="C5" s="2"/>
      <c r="E5" s="2"/>
      <c r="F5" s="2"/>
      <c r="G5" s="2"/>
      <c r="I5" s="2"/>
      <c r="J5" s="2"/>
      <c r="O5" s="2"/>
    </row>
    <row r="6" spans="1:15" x14ac:dyDescent="0.25">
      <c r="A6" s="5" t="s">
        <v>5</v>
      </c>
      <c r="B6" s="2">
        <v>1</v>
      </c>
      <c r="C6" s="2"/>
      <c r="E6" s="2"/>
      <c r="F6" s="2"/>
      <c r="G6" s="2"/>
      <c r="I6" s="2"/>
      <c r="J6" s="2"/>
      <c r="O6" s="2"/>
    </row>
    <row r="7" spans="1:15" x14ac:dyDescent="0.25">
      <c r="A7" s="5" t="s">
        <v>6</v>
      </c>
      <c r="B7" t="s">
        <v>7</v>
      </c>
      <c r="C7" s="2"/>
      <c r="E7" s="2"/>
      <c r="F7" s="2"/>
      <c r="G7" s="2"/>
      <c r="I7" s="2"/>
      <c r="J7" s="2"/>
      <c r="O7" s="2"/>
    </row>
    <row r="8" spans="1:15" x14ac:dyDescent="0.25">
      <c r="A8" s="5" t="s">
        <v>8</v>
      </c>
      <c r="B8" s="2" t="s">
        <v>8</v>
      </c>
      <c r="C8" s="2"/>
      <c r="E8" s="2"/>
      <c r="F8" s="2"/>
      <c r="G8" s="2"/>
      <c r="I8" s="2"/>
      <c r="J8" s="2"/>
      <c r="O8" s="2"/>
    </row>
    <row r="9" spans="1:15" x14ac:dyDescent="0.25">
      <c r="A9" s="5" t="s">
        <v>9</v>
      </c>
      <c r="B9" s="2"/>
      <c r="C9" s="2"/>
      <c r="E9" s="2"/>
      <c r="F9" s="2"/>
      <c r="G9" s="2"/>
      <c r="I9" s="2"/>
      <c r="J9" s="2"/>
      <c r="O9" s="2"/>
    </row>
    <row r="10" spans="1:15" x14ac:dyDescent="0.25">
      <c r="A10" s="5" t="s">
        <v>10</v>
      </c>
      <c r="B10" s="5" t="s">
        <v>2</v>
      </c>
      <c r="C10" s="5" t="s">
        <v>3</v>
      </c>
      <c r="D10" s="5" t="s">
        <v>11</v>
      </c>
      <c r="E10" s="5" t="s">
        <v>6</v>
      </c>
      <c r="F10" s="5" t="s">
        <v>12</v>
      </c>
      <c r="G10" s="5" t="s">
        <v>13</v>
      </c>
      <c r="H10" s="5" t="s">
        <v>0</v>
      </c>
      <c r="I10" s="5" t="s">
        <v>8</v>
      </c>
      <c r="J10" s="2"/>
      <c r="O10" s="2"/>
    </row>
    <row r="11" spans="1:15" x14ac:dyDescent="0.25">
      <c r="A11" s="2" t="str">
        <f>B3</f>
        <v>soda ash production, Solvay process with carbon capture and storage</v>
      </c>
      <c r="B11" s="2" t="str">
        <f>B4</f>
        <v>soda ash, light</v>
      </c>
      <c r="C11" s="2" t="str">
        <f>B5</f>
        <v>GLO</v>
      </c>
      <c r="D11" s="6">
        <f>B6</f>
        <v>1</v>
      </c>
      <c r="E11" s="2" t="str">
        <f>B7</f>
        <v>kilogram</v>
      </c>
      <c r="F11" s="2" t="s">
        <v>14</v>
      </c>
      <c r="G11" s="2"/>
      <c r="H11" s="2" t="str">
        <f>B1</f>
        <v>reagents</v>
      </c>
      <c r="I11" s="2"/>
      <c r="J11" s="2"/>
      <c r="O11" s="2"/>
    </row>
    <row r="12" spans="1:15" x14ac:dyDescent="0.25">
      <c r="A12" s="2" t="s">
        <v>48</v>
      </c>
      <c r="B12" s="2" t="s">
        <v>49</v>
      </c>
      <c r="C12" t="s">
        <v>20</v>
      </c>
      <c r="D12" s="6">
        <v>1.3</v>
      </c>
      <c r="E12" t="s">
        <v>7</v>
      </c>
      <c r="F12" t="s">
        <v>15</v>
      </c>
      <c r="H12" s="2" t="s">
        <v>95</v>
      </c>
      <c r="J12" s="2"/>
      <c r="O12" s="2"/>
    </row>
    <row r="13" spans="1:15" x14ac:dyDescent="0.25">
      <c r="A13" s="2" t="s">
        <v>50</v>
      </c>
      <c r="B13" s="2" t="s">
        <v>51</v>
      </c>
      <c r="C13" t="s">
        <v>4</v>
      </c>
      <c r="D13" s="6">
        <v>1.6</v>
      </c>
      <c r="E13" t="s">
        <v>7</v>
      </c>
      <c r="F13" t="s">
        <v>15</v>
      </c>
      <c r="H13" s="2" t="s">
        <v>95</v>
      </c>
      <c r="J13" s="2"/>
      <c r="O13" s="2"/>
    </row>
    <row r="14" spans="1:15" x14ac:dyDescent="0.25">
      <c r="A14" s="2" t="s">
        <v>52</v>
      </c>
      <c r="B14" s="2" t="s">
        <v>53</v>
      </c>
      <c r="C14" t="s">
        <v>20</v>
      </c>
      <c r="D14" s="6">
        <v>1.4500000000000001E-3</v>
      </c>
      <c r="E14" t="s">
        <v>7</v>
      </c>
      <c r="F14" t="s">
        <v>15</v>
      </c>
      <c r="H14" s="2" t="s">
        <v>95</v>
      </c>
      <c r="J14" s="2"/>
      <c r="O14" s="2"/>
    </row>
    <row r="15" spans="1:15" x14ac:dyDescent="0.25">
      <c r="A15" s="2" t="s">
        <v>54</v>
      </c>
      <c r="B15" s="2" t="s">
        <v>55</v>
      </c>
      <c r="C15" s="2" t="s">
        <v>20</v>
      </c>
      <c r="D15" s="6">
        <v>2.3148148148148149</v>
      </c>
      <c r="E15" s="2" t="s">
        <v>19</v>
      </c>
      <c r="F15" t="s">
        <v>15</v>
      </c>
      <c r="G15" s="2"/>
      <c r="H15" s="2" t="s">
        <v>95</v>
      </c>
      <c r="I15" s="2"/>
      <c r="J15" s="2"/>
      <c r="O15" s="2"/>
    </row>
    <row r="16" spans="1:15" x14ac:dyDescent="0.25">
      <c r="A16" s="2" t="s">
        <v>63</v>
      </c>
      <c r="B16" s="2" t="s">
        <v>64</v>
      </c>
      <c r="C16" s="2" t="s">
        <v>20</v>
      </c>
      <c r="D16" s="6">
        <v>5.158433333333333</v>
      </c>
      <c r="E16" s="2" t="s">
        <v>19</v>
      </c>
      <c r="F16" t="s">
        <v>15</v>
      </c>
      <c r="G16" s="2"/>
      <c r="H16" s="2" t="s">
        <v>95</v>
      </c>
      <c r="I16" s="2"/>
      <c r="J16" s="2"/>
      <c r="O16" s="2"/>
    </row>
    <row r="17" spans="1:15" x14ac:dyDescent="0.25">
      <c r="A17" s="2" t="s">
        <v>65</v>
      </c>
      <c r="B17" s="2" t="s">
        <v>66</v>
      </c>
      <c r="C17" s="2" t="s">
        <v>20</v>
      </c>
      <c r="D17" s="6">
        <v>3.3529816666666665</v>
      </c>
      <c r="E17" s="2" t="s">
        <v>19</v>
      </c>
      <c r="F17" t="s">
        <v>15</v>
      </c>
      <c r="G17" s="2"/>
      <c r="H17" s="2" t="s">
        <v>95</v>
      </c>
      <c r="I17" s="2"/>
      <c r="J17" s="2"/>
      <c r="O17" s="2"/>
    </row>
    <row r="18" spans="1:15" x14ac:dyDescent="0.25">
      <c r="A18" s="2" t="s">
        <v>67</v>
      </c>
      <c r="B18" s="2" t="s">
        <v>64</v>
      </c>
      <c r="C18" s="2" t="s">
        <v>20</v>
      </c>
      <c r="D18" s="6">
        <v>8.5973888888888891E-2</v>
      </c>
      <c r="E18" s="2" t="s">
        <v>19</v>
      </c>
      <c r="F18" t="s">
        <v>15</v>
      </c>
      <c r="G18" s="2"/>
      <c r="H18" s="2" t="s">
        <v>95</v>
      </c>
      <c r="I18" s="2"/>
      <c r="J18" s="2"/>
      <c r="O18" s="2"/>
    </row>
    <row r="19" spans="1:15" x14ac:dyDescent="0.25">
      <c r="A19" s="2" t="s">
        <v>16</v>
      </c>
      <c r="B19" s="2" t="s">
        <v>17</v>
      </c>
      <c r="C19" s="2" t="s">
        <v>4</v>
      </c>
      <c r="D19" s="6">
        <v>0.11899999999999999</v>
      </c>
      <c r="E19" s="2" t="s">
        <v>18</v>
      </c>
      <c r="F19" t="s">
        <v>15</v>
      </c>
      <c r="G19" s="2"/>
      <c r="H19" s="2" t="s">
        <v>95</v>
      </c>
      <c r="I19" s="2"/>
      <c r="J19" s="2"/>
      <c r="O19" s="2"/>
    </row>
    <row r="20" spans="1:15" x14ac:dyDescent="0.25">
      <c r="A20" s="2" t="s">
        <v>100</v>
      </c>
      <c r="B20" s="2" t="s">
        <v>101</v>
      </c>
      <c r="C20" s="2" t="s">
        <v>4</v>
      </c>
      <c r="D20" s="7">
        <v>4.3199999999999998E-4</v>
      </c>
      <c r="E20" t="s">
        <v>7</v>
      </c>
      <c r="F20" t="s">
        <v>15</v>
      </c>
      <c r="H20" s="2" t="s">
        <v>95</v>
      </c>
      <c r="I20" s="2"/>
      <c r="J20" s="2"/>
      <c r="O20" s="2"/>
    </row>
    <row r="21" spans="1:15" x14ac:dyDescent="0.25">
      <c r="A21" s="2" t="s">
        <v>56</v>
      </c>
      <c r="B21" s="2" t="s">
        <v>57</v>
      </c>
      <c r="C21" t="s">
        <v>20</v>
      </c>
      <c r="D21" s="6">
        <v>-0.26500000000000001</v>
      </c>
      <c r="E21" t="s">
        <v>7</v>
      </c>
      <c r="F21" t="s">
        <v>15</v>
      </c>
      <c r="H21" s="2" t="s">
        <v>95</v>
      </c>
      <c r="J21" s="2"/>
      <c r="O21" s="2"/>
    </row>
    <row r="22" spans="1:15" s="9" customFormat="1" x14ac:dyDescent="0.25">
      <c r="A22" s="11" t="s">
        <v>62</v>
      </c>
      <c r="B22" s="11" t="s">
        <v>58</v>
      </c>
      <c r="C22" s="11" t="s">
        <v>4</v>
      </c>
      <c r="D22" s="10">
        <v>8.6600000000000001E-10</v>
      </c>
      <c r="E22" s="11" t="s">
        <v>6</v>
      </c>
      <c r="F22" s="9" t="s">
        <v>15</v>
      </c>
      <c r="G22" s="11"/>
      <c r="H22" s="11" t="s">
        <v>95</v>
      </c>
      <c r="I22" s="11"/>
      <c r="J22" s="11"/>
      <c r="O22" s="11"/>
    </row>
    <row r="23" spans="1:15" x14ac:dyDescent="0.25">
      <c r="A23" t="s">
        <v>82</v>
      </c>
      <c r="B23" t="s">
        <v>81</v>
      </c>
      <c r="C23" t="s">
        <v>88</v>
      </c>
      <c r="D23" s="6">
        <v>0.22500000000000001</v>
      </c>
      <c r="E23" s="2" t="s">
        <v>7</v>
      </c>
      <c r="F23" t="s">
        <v>15</v>
      </c>
      <c r="G23" s="2"/>
      <c r="H23" s="2" t="s">
        <v>95</v>
      </c>
      <c r="I23" s="2" t="s">
        <v>102</v>
      </c>
    </row>
    <row r="24" spans="1:15" x14ac:dyDescent="0.25">
      <c r="A24" s="2" t="s">
        <v>21</v>
      </c>
      <c r="B24" s="2"/>
      <c r="C24" s="8"/>
      <c r="D24" s="6">
        <v>2.4999999999999994E-2</v>
      </c>
      <c r="E24" t="s">
        <v>7</v>
      </c>
      <c r="F24" t="s">
        <v>22</v>
      </c>
      <c r="G24" s="2" t="s">
        <v>23</v>
      </c>
      <c r="H24" s="2" t="s">
        <v>40</v>
      </c>
      <c r="I24" s="2"/>
      <c r="J24" s="2"/>
      <c r="O24" s="2"/>
    </row>
    <row r="25" spans="1:15" x14ac:dyDescent="0.25">
      <c r="A25" s="2" t="s">
        <v>29</v>
      </c>
      <c r="B25" s="2"/>
      <c r="C25" s="8"/>
      <c r="D25" s="6">
        <v>8.9999999999999993E-3</v>
      </c>
      <c r="E25" t="s">
        <v>7</v>
      </c>
      <c r="F25" t="s">
        <v>22</v>
      </c>
      <c r="G25" s="2" t="s">
        <v>23</v>
      </c>
      <c r="H25" s="2" t="s">
        <v>40</v>
      </c>
      <c r="I25" s="2"/>
      <c r="J25" s="2"/>
      <c r="O25" s="2"/>
    </row>
    <row r="26" spans="1:15" x14ac:dyDescent="0.25">
      <c r="A26" s="2" t="s">
        <v>59</v>
      </c>
      <c r="B26" s="2"/>
      <c r="C26" s="2"/>
      <c r="D26" s="6">
        <v>8.9999999999999998E-4</v>
      </c>
      <c r="E26" t="s">
        <v>7</v>
      </c>
      <c r="F26" t="s">
        <v>22</v>
      </c>
      <c r="G26" s="2" t="s">
        <v>23</v>
      </c>
      <c r="H26" s="2" t="s">
        <v>40</v>
      </c>
      <c r="I26" s="2"/>
      <c r="J26" s="2"/>
      <c r="O26" s="2"/>
    </row>
    <row r="27" spans="1:15" x14ac:dyDescent="0.25">
      <c r="A27" s="2" t="s">
        <v>30</v>
      </c>
      <c r="B27" s="2"/>
      <c r="C27" s="2"/>
      <c r="D27" s="7">
        <v>1.93E-4</v>
      </c>
      <c r="E27" t="s">
        <v>7</v>
      </c>
      <c r="F27" t="s">
        <v>22</v>
      </c>
      <c r="G27" s="2" t="s">
        <v>23</v>
      </c>
      <c r="H27" s="2" t="s">
        <v>40</v>
      </c>
      <c r="I27" s="2"/>
      <c r="J27" s="2"/>
      <c r="O27" s="2"/>
    </row>
    <row r="28" spans="1:15" x14ac:dyDescent="0.25">
      <c r="A28" s="2" t="s">
        <v>60</v>
      </c>
      <c r="B28" s="2"/>
      <c r="C28" s="2"/>
      <c r="D28" s="7">
        <v>2.9999999999999999E-7</v>
      </c>
      <c r="E28" t="s">
        <v>7</v>
      </c>
      <c r="F28" t="s">
        <v>22</v>
      </c>
      <c r="G28" s="2" t="s">
        <v>23</v>
      </c>
      <c r="H28" s="2" t="s">
        <v>40</v>
      </c>
      <c r="I28" s="2"/>
      <c r="J28" s="2"/>
      <c r="O28" s="2"/>
    </row>
    <row r="29" spans="1:15" x14ac:dyDescent="0.25">
      <c r="A29" s="2" t="s">
        <v>61</v>
      </c>
      <c r="B29" s="2"/>
      <c r="C29" s="2"/>
      <c r="D29" s="7">
        <v>1E-4</v>
      </c>
      <c r="E29" t="s">
        <v>7</v>
      </c>
      <c r="F29" t="s">
        <v>22</v>
      </c>
      <c r="G29" s="2" t="s">
        <v>23</v>
      </c>
      <c r="H29" s="2" t="s">
        <v>40</v>
      </c>
      <c r="I29" s="2"/>
      <c r="J29" s="2"/>
      <c r="O29" s="2"/>
    </row>
    <row r="30" spans="1:15" x14ac:dyDescent="0.25">
      <c r="A30" t="s">
        <v>27</v>
      </c>
      <c r="D30" s="7">
        <f>0.833333333333333/1000</f>
        <v>8.3333333333333306E-4</v>
      </c>
      <c r="E30" t="s">
        <v>26</v>
      </c>
      <c r="F30" t="s">
        <v>22</v>
      </c>
      <c r="G30" s="2" t="s">
        <v>28</v>
      </c>
      <c r="H30" s="2" t="s">
        <v>40</v>
      </c>
      <c r="I30" s="2"/>
    </row>
    <row r="31" spans="1:15" x14ac:dyDescent="0.25">
      <c r="A31" t="s">
        <v>87</v>
      </c>
      <c r="D31" s="7">
        <f>69.4444444444444/1000</f>
        <v>6.9444444444444406E-2</v>
      </c>
      <c r="E31" t="s">
        <v>26</v>
      </c>
      <c r="F31" t="s">
        <v>22</v>
      </c>
      <c r="G31" s="2" t="s">
        <v>28</v>
      </c>
      <c r="H31" s="2" t="s">
        <v>40</v>
      </c>
      <c r="I31" s="2"/>
    </row>
    <row r="32" spans="1:15" x14ac:dyDescent="0.25">
      <c r="A32" s="2" t="s">
        <v>84</v>
      </c>
      <c r="B32" s="2"/>
      <c r="C32" s="2"/>
      <c r="D32" s="7">
        <f>64.6854166666667/1000</f>
        <v>6.4685416666666704E-2</v>
      </c>
      <c r="E32" t="s">
        <v>26</v>
      </c>
      <c r="F32" t="s">
        <v>22</v>
      </c>
      <c r="G32" s="2" t="s">
        <v>86</v>
      </c>
      <c r="H32" s="2" t="s">
        <v>40</v>
      </c>
      <c r="I32" s="2"/>
      <c r="J32" s="2"/>
      <c r="O32" s="2"/>
    </row>
    <row r="33" spans="1:15" x14ac:dyDescent="0.25">
      <c r="A33" s="2" t="s">
        <v>84</v>
      </c>
      <c r="B33" s="2"/>
      <c r="C33" s="2"/>
      <c r="D33" s="7">
        <f>3.60162037037037/1000</f>
        <v>3.60162037037037E-3</v>
      </c>
      <c r="E33" t="s">
        <v>26</v>
      </c>
      <c r="F33" t="s">
        <v>22</v>
      </c>
      <c r="G33" s="2" t="s">
        <v>23</v>
      </c>
      <c r="H33" s="2" t="s">
        <v>40</v>
      </c>
      <c r="I33" s="2"/>
      <c r="J33" s="2"/>
      <c r="O33" s="2"/>
    </row>
    <row r="34" spans="1:15" s="4" customFormat="1" x14ac:dyDescent="0.25">
      <c r="A34" s="3"/>
      <c r="B34" s="3"/>
      <c r="C34" s="3"/>
      <c r="D34" s="3"/>
      <c r="E34" s="3"/>
      <c r="F34" s="3"/>
      <c r="G34" s="3"/>
      <c r="I34" s="3"/>
      <c r="J34" s="3"/>
      <c r="O34" s="3"/>
    </row>
    <row r="35" spans="1:15" x14ac:dyDescent="0.25">
      <c r="A35" s="5" t="s">
        <v>1</v>
      </c>
      <c r="B35" s="5" t="s">
        <v>47</v>
      </c>
      <c r="C35" s="2"/>
      <c r="E35" s="2"/>
      <c r="F35" s="2"/>
      <c r="G35" s="2"/>
      <c r="I35" s="2"/>
    </row>
    <row r="36" spans="1:15" x14ac:dyDescent="0.25">
      <c r="A36" s="5" t="s">
        <v>2</v>
      </c>
      <c r="B36" s="2" t="s">
        <v>25</v>
      </c>
      <c r="C36" s="2"/>
      <c r="E36" s="2"/>
      <c r="F36" s="2"/>
      <c r="G36" s="2"/>
      <c r="I36" s="2"/>
    </row>
    <row r="37" spans="1:15" x14ac:dyDescent="0.25">
      <c r="A37" s="5" t="s">
        <v>3</v>
      </c>
      <c r="B37" s="2" t="s">
        <v>4</v>
      </c>
      <c r="C37" s="2"/>
      <c r="E37" s="2"/>
      <c r="F37" s="2"/>
      <c r="G37" s="2"/>
      <c r="I37" s="2"/>
    </row>
    <row r="38" spans="1:15" x14ac:dyDescent="0.25">
      <c r="A38" s="5" t="s">
        <v>5</v>
      </c>
      <c r="B38" s="2">
        <v>1</v>
      </c>
      <c r="C38" s="2"/>
      <c r="E38" s="2"/>
      <c r="F38" s="2"/>
      <c r="G38" s="2"/>
      <c r="I38" s="2"/>
    </row>
    <row r="39" spans="1:15" x14ac:dyDescent="0.25">
      <c r="A39" s="5" t="s">
        <v>6</v>
      </c>
      <c r="B39" t="s">
        <v>7</v>
      </c>
      <c r="C39" s="2"/>
      <c r="E39" s="2"/>
      <c r="F39" s="2"/>
      <c r="G39" s="2"/>
      <c r="I39" s="2"/>
    </row>
    <row r="40" spans="1:15" x14ac:dyDescent="0.25">
      <c r="A40" s="5" t="s">
        <v>8</v>
      </c>
      <c r="B40" s="2" t="s">
        <v>8</v>
      </c>
      <c r="C40" s="2"/>
      <c r="E40" s="2"/>
      <c r="F40" s="2"/>
      <c r="G40" s="2"/>
      <c r="I40" s="2"/>
    </row>
    <row r="41" spans="1:15" x14ac:dyDescent="0.25">
      <c r="A41" s="5" t="s">
        <v>9</v>
      </c>
      <c r="B41" s="2"/>
      <c r="C41" s="2"/>
      <c r="E41" s="2"/>
      <c r="F41" s="2"/>
      <c r="G41" s="2"/>
      <c r="I41" s="2"/>
    </row>
    <row r="42" spans="1:15" x14ac:dyDescent="0.25">
      <c r="A42" s="5" t="s">
        <v>10</v>
      </c>
      <c r="B42" s="5" t="s">
        <v>2</v>
      </c>
      <c r="C42" s="5" t="s">
        <v>3</v>
      </c>
      <c r="D42" s="5" t="s">
        <v>11</v>
      </c>
      <c r="E42" s="5" t="s">
        <v>6</v>
      </c>
      <c r="F42" s="5" t="s">
        <v>12</v>
      </c>
      <c r="G42" s="5" t="s">
        <v>13</v>
      </c>
      <c r="H42" s="5" t="s">
        <v>0</v>
      </c>
      <c r="I42" s="5" t="s">
        <v>8</v>
      </c>
    </row>
    <row r="43" spans="1:15" x14ac:dyDescent="0.25">
      <c r="A43" s="2" t="str">
        <f>B35</f>
        <v>soda ash production, Solvay process</v>
      </c>
      <c r="B43" s="2" t="str">
        <f>B36</f>
        <v>soda ash, light</v>
      </c>
      <c r="C43" s="2" t="str">
        <f>B37</f>
        <v>GLO</v>
      </c>
      <c r="D43" s="6">
        <f>B38</f>
        <v>1</v>
      </c>
      <c r="E43" s="2" t="str">
        <f>B39</f>
        <v>kilogram</v>
      </c>
      <c r="F43" s="2" t="s">
        <v>14</v>
      </c>
      <c r="G43" s="2"/>
      <c r="H43" s="2" t="str">
        <f>B1</f>
        <v>reagents</v>
      </c>
      <c r="I43" s="2"/>
    </row>
    <row r="44" spans="1:15" x14ac:dyDescent="0.25">
      <c r="A44" s="2" t="s">
        <v>48</v>
      </c>
      <c r="B44" s="2" t="s">
        <v>49</v>
      </c>
      <c r="C44" t="s">
        <v>20</v>
      </c>
      <c r="D44" s="6">
        <v>1.3</v>
      </c>
      <c r="E44" t="s">
        <v>7</v>
      </c>
      <c r="F44" t="s">
        <v>15</v>
      </c>
      <c r="H44" s="2" t="s">
        <v>95</v>
      </c>
    </row>
    <row r="45" spans="1:15" x14ac:dyDescent="0.25">
      <c r="A45" s="2" t="s">
        <v>50</v>
      </c>
      <c r="B45" s="2" t="s">
        <v>51</v>
      </c>
      <c r="C45" t="s">
        <v>4</v>
      </c>
      <c r="D45" s="6">
        <v>1.6</v>
      </c>
      <c r="E45" t="s">
        <v>7</v>
      </c>
      <c r="F45" t="s">
        <v>15</v>
      </c>
      <c r="H45" s="2" t="s">
        <v>95</v>
      </c>
    </row>
    <row r="46" spans="1:15" x14ac:dyDescent="0.25">
      <c r="A46" s="2" t="s">
        <v>52</v>
      </c>
      <c r="B46" s="2" t="s">
        <v>53</v>
      </c>
      <c r="C46" t="s">
        <v>20</v>
      </c>
      <c r="D46" s="6">
        <v>1.4500000000000001E-3</v>
      </c>
      <c r="E46" t="s">
        <v>7</v>
      </c>
      <c r="F46" t="s">
        <v>15</v>
      </c>
      <c r="H46" s="2" t="s">
        <v>95</v>
      </c>
    </row>
    <row r="47" spans="1:15" x14ac:dyDescent="0.25">
      <c r="A47" s="2" t="s">
        <v>54</v>
      </c>
      <c r="B47" s="2" t="s">
        <v>55</v>
      </c>
      <c r="C47" s="2" t="s">
        <v>20</v>
      </c>
      <c r="D47" s="6">
        <v>2.3148148148148149</v>
      </c>
      <c r="E47" s="2" t="s">
        <v>19</v>
      </c>
      <c r="F47" t="s">
        <v>15</v>
      </c>
      <c r="G47" s="2"/>
      <c r="H47" s="2" t="s">
        <v>95</v>
      </c>
      <c r="I47" s="2"/>
      <c r="J47" s="2"/>
      <c r="O47" s="2"/>
    </row>
    <row r="48" spans="1:15" x14ac:dyDescent="0.25">
      <c r="A48" s="2" t="s">
        <v>63</v>
      </c>
      <c r="B48" s="2" t="s">
        <v>64</v>
      </c>
      <c r="C48" s="2" t="s">
        <v>20</v>
      </c>
      <c r="D48" s="6">
        <v>4.583333333333333</v>
      </c>
      <c r="E48" s="2" t="s">
        <v>19</v>
      </c>
      <c r="F48" t="s">
        <v>15</v>
      </c>
      <c r="G48" s="2"/>
      <c r="H48" s="2" t="s">
        <v>95</v>
      </c>
      <c r="I48" s="2"/>
      <c r="J48" s="2"/>
      <c r="O48" s="2"/>
    </row>
    <row r="49" spans="1:15" x14ac:dyDescent="0.25">
      <c r="A49" s="2" t="s">
        <v>65</v>
      </c>
      <c r="B49" s="2" t="s">
        <v>66</v>
      </c>
      <c r="C49" s="2" t="s">
        <v>20</v>
      </c>
      <c r="D49" s="6">
        <v>2.9791666666666665</v>
      </c>
      <c r="E49" s="2" t="s">
        <v>19</v>
      </c>
      <c r="F49" t="s">
        <v>15</v>
      </c>
      <c r="G49" s="2"/>
      <c r="H49" s="2" t="s">
        <v>95</v>
      </c>
      <c r="I49" s="2"/>
      <c r="J49" s="2"/>
      <c r="O49" s="2"/>
    </row>
    <row r="50" spans="1:15" x14ac:dyDescent="0.25">
      <c r="A50" s="2" t="s">
        <v>67</v>
      </c>
      <c r="B50" s="2" t="s">
        <v>64</v>
      </c>
      <c r="C50" s="2" t="s">
        <v>20</v>
      </c>
      <c r="D50" s="6">
        <v>7.6388888888888881E-2</v>
      </c>
      <c r="E50" s="2" t="s">
        <v>19</v>
      </c>
      <c r="F50" t="s">
        <v>15</v>
      </c>
      <c r="G50" s="2"/>
      <c r="H50" s="2" t="s">
        <v>95</v>
      </c>
      <c r="I50" s="2"/>
      <c r="J50" s="2"/>
      <c r="O50" s="2"/>
    </row>
    <row r="51" spans="1:15" x14ac:dyDescent="0.25">
      <c r="A51" s="2" t="s">
        <v>16</v>
      </c>
      <c r="B51" s="2" t="s">
        <v>17</v>
      </c>
      <c r="C51" s="2" t="s">
        <v>4</v>
      </c>
      <c r="D51" s="6">
        <v>0.09</v>
      </c>
      <c r="E51" s="2" t="s">
        <v>18</v>
      </c>
      <c r="F51" t="s">
        <v>15</v>
      </c>
      <c r="G51" s="2"/>
      <c r="H51" s="2" t="s">
        <v>95</v>
      </c>
      <c r="I51" s="2"/>
    </row>
    <row r="52" spans="1:15" x14ac:dyDescent="0.25">
      <c r="A52" s="2" t="s">
        <v>56</v>
      </c>
      <c r="B52" s="2" t="s">
        <v>57</v>
      </c>
      <c r="C52" t="s">
        <v>20</v>
      </c>
      <c r="D52" s="6">
        <v>-0.26500000000000001</v>
      </c>
      <c r="E52" t="s">
        <v>7</v>
      </c>
      <c r="F52" t="s">
        <v>15</v>
      </c>
      <c r="H52" s="2" t="s">
        <v>95</v>
      </c>
    </row>
    <row r="53" spans="1:15" s="9" customFormat="1" x14ac:dyDescent="0.25">
      <c r="A53" s="11" t="s">
        <v>62</v>
      </c>
      <c r="B53" s="11" t="s">
        <v>58</v>
      </c>
      <c r="C53" s="11" t="s">
        <v>4</v>
      </c>
      <c r="D53" s="10">
        <v>8.6600000000000001E-10</v>
      </c>
      <c r="E53" s="11" t="s">
        <v>6</v>
      </c>
      <c r="F53" s="9" t="s">
        <v>15</v>
      </c>
      <c r="G53" s="11"/>
      <c r="H53" s="11" t="s">
        <v>95</v>
      </c>
      <c r="I53" s="11"/>
      <c r="J53" s="11"/>
      <c r="O53" s="11"/>
    </row>
    <row r="54" spans="1:15" x14ac:dyDescent="0.25">
      <c r="A54" s="2" t="s">
        <v>21</v>
      </c>
      <c r="B54" s="2"/>
      <c r="C54" s="8"/>
      <c r="D54" s="6">
        <v>0.25</v>
      </c>
      <c r="E54" t="s">
        <v>7</v>
      </c>
      <c r="F54" t="s">
        <v>22</v>
      </c>
      <c r="G54" s="2" t="s">
        <v>23</v>
      </c>
      <c r="H54" s="2" t="s">
        <v>40</v>
      </c>
      <c r="I54" s="2"/>
      <c r="J54" s="2"/>
      <c r="O54" s="2"/>
    </row>
    <row r="55" spans="1:15" x14ac:dyDescent="0.25">
      <c r="A55" s="2" t="s">
        <v>29</v>
      </c>
      <c r="B55" s="2"/>
      <c r="C55" s="8"/>
      <c r="D55" s="6">
        <v>8.9999999999999993E-3</v>
      </c>
      <c r="E55" t="s">
        <v>7</v>
      </c>
      <c r="F55" t="s">
        <v>22</v>
      </c>
      <c r="G55" s="2" t="s">
        <v>23</v>
      </c>
      <c r="H55" s="2" t="s">
        <v>40</v>
      </c>
      <c r="I55" s="2"/>
      <c r="J55" s="2"/>
      <c r="O55" s="2"/>
    </row>
    <row r="56" spans="1:15" x14ac:dyDescent="0.25">
      <c r="A56" s="2" t="s">
        <v>59</v>
      </c>
      <c r="B56" s="2"/>
      <c r="C56" s="2"/>
      <c r="D56" s="6">
        <v>1E-3</v>
      </c>
      <c r="E56" t="s">
        <v>7</v>
      </c>
      <c r="F56" t="s">
        <v>22</v>
      </c>
      <c r="G56" s="2" t="s">
        <v>23</v>
      </c>
      <c r="H56" s="2" t="s">
        <v>40</v>
      </c>
      <c r="I56" s="2"/>
      <c r="J56" s="2"/>
      <c r="O56" s="2"/>
    </row>
    <row r="57" spans="1:15" x14ac:dyDescent="0.25">
      <c r="A57" s="2" t="s">
        <v>30</v>
      </c>
      <c r="B57" s="2"/>
      <c r="C57" s="2"/>
      <c r="D57" s="7">
        <v>1.93E-4</v>
      </c>
      <c r="E57" t="s">
        <v>7</v>
      </c>
      <c r="F57" t="s">
        <v>22</v>
      </c>
      <c r="G57" s="2" t="s">
        <v>23</v>
      </c>
      <c r="H57" s="2" t="s">
        <v>40</v>
      </c>
      <c r="I57" s="2"/>
      <c r="O57" s="2"/>
    </row>
    <row r="58" spans="1:15" x14ac:dyDescent="0.25">
      <c r="A58" s="2" t="s">
        <v>60</v>
      </c>
      <c r="B58" s="2"/>
      <c r="C58" s="2"/>
      <c r="D58" s="7">
        <v>2.9999999999999999E-7</v>
      </c>
      <c r="E58" t="s">
        <v>7</v>
      </c>
      <c r="F58" t="s">
        <v>22</v>
      </c>
      <c r="G58" s="2" t="s">
        <v>23</v>
      </c>
      <c r="H58" s="2" t="s">
        <v>40</v>
      </c>
      <c r="I58" s="2"/>
      <c r="O58" s="2"/>
    </row>
    <row r="59" spans="1:15" x14ac:dyDescent="0.25">
      <c r="A59" s="2" t="s">
        <v>61</v>
      </c>
      <c r="B59" s="2"/>
      <c r="C59" s="2"/>
      <c r="D59" s="7">
        <v>1E-4</v>
      </c>
      <c r="E59" t="s">
        <v>7</v>
      </c>
      <c r="F59" t="s">
        <v>22</v>
      </c>
      <c r="G59" s="2" t="s">
        <v>23</v>
      </c>
      <c r="H59" s="2" t="s">
        <v>40</v>
      </c>
      <c r="I59" s="2"/>
      <c r="J59" s="2"/>
      <c r="O59" s="2"/>
    </row>
    <row r="60" spans="1:15" x14ac:dyDescent="0.25">
      <c r="A60" t="s">
        <v>27</v>
      </c>
      <c r="D60" s="7">
        <f>0.833333333333333/1000</f>
        <v>8.3333333333333306E-4</v>
      </c>
      <c r="E60" t="s">
        <v>26</v>
      </c>
      <c r="F60" t="s">
        <v>22</v>
      </c>
      <c r="G60" s="2" t="s">
        <v>28</v>
      </c>
      <c r="H60" s="2" t="s">
        <v>40</v>
      </c>
      <c r="I60" s="2"/>
    </row>
    <row r="61" spans="1:15" x14ac:dyDescent="0.25">
      <c r="A61" t="s">
        <v>87</v>
      </c>
      <c r="D61" s="7">
        <f>69.4444444444444/1000</f>
        <v>6.9444444444444406E-2</v>
      </c>
      <c r="E61" t="s">
        <v>26</v>
      </c>
      <c r="F61" t="s">
        <v>22</v>
      </c>
      <c r="G61" s="2" t="s">
        <v>28</v>
      </c>
      <c r="H61" s="2" t="s">
        <v>40</v>
      </c>
      <c r="I61" s="2"/>
    </row>
    <row r="62" spans="1:15" x14ac:dyDescent="0.25">
      <c r="A62" s="2" t="s">
        <v>84</v>
      </c>
      <c r="B62" s="2"/>
      <c r="C62" s="2"/>
      <c r="D62" s="7">
        <f>64.6854166666667/1000</f>
        <v>6.4685416666666704E-2</v>
      </c>
      <c r="E62" t="s">
        <v>26</v>
      </c>
      <c r="F62" t="s">
        <v>22</v>
      </c>
      <c r="G62" s="2" t="s">
        <v>86</v>
      </c>
      <c r="H62" s="2" t="s">
        <v>40</v>
      </c>
      <c r="I62" s="2"/>
      <c r="J62" s="2"/>
      <c r="O62" s="2"/>
    </row>
    <row r="63" spans="1:15" x14ac:dyDescent="0.25">
      <c r="A63" s="2" t="s">
        <v>84</v>
      </c>
      <c r="B63" s="2"/>
      <c r="C63" s="2"/>
      <c r="D63" s="7">
        <f>3.60162037037037/1000</f>
        <v>3.60162037037037E-3</v>
      </c>
      <c r="E63" t="s">
        <v>26</v>
      </c>
      <c r="F63" t="s">
        <v>22</v>
      </c>
      <c r="G63" s="2" t="s">
        <v>23</v>
      </c>
      <c r="H63" s="2" t="s">
        <v>40</v>
      </c>
      <c r="I63" s="2"/>
      <c r="J63" s="2"/>
      <c r="O63" s="2"/>
    </row>
    <row r="64" spans="1:15" s="4" customFormat="1" x14ac:dyDescent="0.25">
      <c r="A64" s="3"/>
      <c r="B64" s="3"/>
      <c r="C64" s="3"/>
      <c r="D64" s="3"/>
      <c r="E64" s="3"/>
      <c r="F64" s="3"/>
      <c r="G64" s="3"/>
      <c r="I64" s="3"/>
      <c r="J64" s="3"/>
      <c r="O64" s="3"/>
    </row>
    <row r="65" spans="1:15" x14ac:dyDescent="0.25">
      <c r="A65" s="5" t="s">
        <v>1</v>
      </c>
      <c r="B65" s="5" t="s">
        <v>46</v>
      </c>
      <c r="C65" s="2"/>
      <c r="E65" s="2"/>
      <c r="F65" s="2"/>
      <c r="G65" s="2"/>
      <c r="I65" s="2"/>
    </row>
    <row r="66" spans="1:15" x14ac:dyDescent="0.25">
      <c r="A66" s="5" t="s">
        <v>2</v>
      </c>
      <c r="B66" s="2" t="s">
        <v>25</v>
      </c>
      <c r="C66" s="2"/>
      <c r="E66" s="2"/>
      <c r="F66" s="2"/>
      <c r="G66" s="2"/>
      <c r="I66" s="2"/>
    </row>
    <row r="67" spans="1:15" x14ac:dyDescent="0.25">
      <c r="A67" s="5" t="s">
        <v>3</v>
      </c>
      <c r="B67" s="2" t="s">
        <v>4</v>
      </c>
      <c r="C67" s="2"/>
      <c r="E67" s="2"/>
      <c r="F67" s="2"/>
      <c r="G67" s="2"/>
      <c r="I67" s="2"/>
    </row>
    <row r="68" spans="1:15" x14ac:dyDescent="0.25">
      <c r="A68" s="5" t="s">
        <v>5</v>
      </c>
      <c r="B68" s="2">
        <v>1</v>
      </c>
      <c r="C68" s="2"/>
      <c r="E68" s="2"/>
      <c r="F68" s="2"/>
      <c r="G68" s="2"/>
      <c r="I68" s="2"/>
    </row>
    <row r="69" spans="1:15" x14ac:dyDescent="0.25">
      <c r="A69" s="5" t="s">
        <v>6</v>
      </c>
      <c r="B69" t="s">
        <v>7</v>
      </c>
      <c r="C69" s="2"/>
      <c r="E69" s="2"/>
      <c r="F69" s="2"/>
      <c r="G69" s="2"/>
      <c r="I69" s="2"/>
    </row>
    <row r="70" spans="1:15" x14ac:dyDescent="0.25">
      <c r="A70" s="5" t="s">
        <v>8</v>
      </c>
      <c r="B70" s="2" t="s">
        <v>31</v>
      </c>
      <c r="C70" s="2"/>
      <c r="E70" s="2"/>
      <c r="F70" s="2"/>
      <c r="G70" s="2"/>
      <c r="I70" s="2"/>
    </row>
    <row r="71" spans="1:15" x14ac:dyDescent="0.25">
      <c r="A71" s="5" t="s">
        <v>9</v>
      </c>
      <c r="B71" s="2"/>
      <c r="C71" s="2"/>
      <c r="E71" s="2"/>
      <c r="F71" s="2"/>
      <c r="G71" s="2"/>
      <c r="I71" s="2"/>
    </row>
    <row r="72" spans="1:15" x14ac:dyDescent="0.25">
      <c r="A72" s="5" t="s">
        <v>10</v>
      </c>
      <c r="B72" s="5" t="s">
        <v>2</v>
      </c>
      <c r="C72" s="5" t="s">
        <v>3</v>
      </c>
      <c r="D72" s="5" t="s">
        <v>11</v>
      </c>
      <c r="E72" s="5" t="s">
        <v>6</v>
      </c>
      <c r="F72" s="5" t="s">
        <v>12</v>
      </c>
      <c r="G72" s="5" t="s">
        <v>13</v>
      </c>
      <c r="H72" s="5" t="s">
        <v>0</v>
      </c>
      <c r="I72" s="5" t="s">
        <v>8</v>
      </c>
    </row>
    <row r="73" spans="1:15" x14ac:dyDescent="0.25">
      <c r="A73" s="2" t="str">
        <f>B65</f>
        <v>soda ash production, trona process</v>
      </c>
      <c r="B73" s="2" t="str">
        <f>B66</f>
        <v>soda ash, light</v>
      </c>
      <c r="C73" s="2" t="str">
        <f>B67</f>
        <v>GLO</v>
      </c>
      <c r="D73" s="6">
        <f>B68</f>
        <v>1</v>
      </c>
      <c r="E73" s="2" t="str">
        <f>B69</f>
        <v>kilogram</v>
      </c>
      <c r="F73" s="2" t="s">
        <v>14</v>
      </c>
      <c r="G73" s="2"/>
      <c r="H73" s="2" t="str">
        <f>B1</f>
        <v>reagents</v>
      </c>
      <c r="I73" s="2"/>
    </row>
    <row r="74" spans="1:15" x14ac:dyDescent="0.25">
      <c r="A74" s="2" t="s">
        <v>16</v>
      </c>
      <c r="B74" s="2" t="s">
        <v>17</v>
      </c>
      <c r="C74" s="2" t="s">
        <v>4</v>
      </c>
      <c r="D74" s="6">
        <f>0.4356/3.6</f>
        <v>0.121</v>
      </c>
      <c r="E74" s="2" t="s">
        <v>18</v>
      </c>
      <c r="F74" t="s">
        <v>15</v>
      </c>
      <c r="G74" s="2"/>
      <c r="H74" s="2" t="s">
        <v>95</v>
      </c>
      <c r="I74" s="2"/>
    </row>
    <row r="75" spans="1:15" x14ac:dyDescent="0.25">
      <c r="A75" s="2" t="s">
        <v>63</v>
      </c>
      <c r="B75" s="2" t="s">
        <v>64</v>
      </c>
      <c r="C75" s="2" t="s">
        <v>20</v>
      </c>
      <c r="D75" s="6">
        <v>1.6712492587694119</v>
      </c>
      <c r="E75" s="2" t="s">
        <v>19</v>
      </c>
      <c r="F75" t="s">
        <v>15</v>
      </c>
      <c r="G75" s="2"/>
      <c r="H75" s="2" t="s">
        <v>95</v>
      </c>
      <c r="I75" s="2"/>
      <c r="J75" s="2"/>
      <c r="O75" s="2"/>
    </row>
    <row r="76" spans="1:15" x14ac:dyDescent="0.25">
      <c r="A76" s="2" t="s">
        <v>65</v>
      </c>
      <c r="B76" s="2" t="s">
        <v>66</v>
      </c>
      <c r="C76" s="2" t="s">
        <v>20</v>
      </c>
      <c r="D76" s="6">
        <v>1.0863120182001178</v>
      </c>
      <c r="E76" s="2" t="s">
        <v>19</v>
      </c>
      <c r="F76" t="s">
        <v>15</v>
      </c>
      <c r="G76" s="2"/>
      <c r="H76" s="2" t="s">
        <v>95</v>
      </c>
      <c r="I76" s="2"/>
      <c r="J76" s="2"/>
      <c r="O76" s="2"/>
    </row>
    <row r="77" spans="1:15" x14ac:dyDescent="0.25">
      <c r="A77" s="2" t="s">
        <v>67</v>
      </c>
      <c r="B77" s="2" t="s">
        <v>64</v>
      </c>
      <c r="C77" s="2" t="s">
        <v>20</v>
      </c>
      <c r="D77" s="6">
        <v>2.7854154312823533E-2</v>
      </c>
      <c r="E77" s="2" t="s">
        <v>19</v>
      </c>
      <c r="F77" t="s">
        <v>15</v>
      </c>
      <c r="G77" s="2"/>
      <c r="H77" s="2" t="s">
        <v>95</v>
      </c>
      <c r="I77" s="2"/>
      <c r="J77" s="2"/>
      <c r="O77" s="2"/>
    </row>
    <row r="78" spans="1:15" ht="14.25" customHeight="1" x14ac:dyDescent="0.25">
      <c r="A78" t="s">
        <v>35</v>
      </c>
      <c r="B78" t="s">
        <v>34</v>
      </c>
      <c r="C78" s="2" t="s">
        <v>4</v>
      </c>
      <c r="D78" s="6">
        <f>(0.0002828+0.00000112+0.0000617)*38.6</f>
        <v>1.3340932E-2</v>
      </c>
      <c r="E78" s="8" t="s">
        <v>19</v>
      </c>
      <c r="F78" t="s">
        <v>15</v>
      </c>
      <c r="G78" s="2"/>
      <c r="H78" s="2" t="s">
        <v>95</v>
      </c>
      <c r="I78" s="2" t="s">
        <v>41</v>
      </c>
    </row>
    <row r="79" spans="1:15" x14ac:dyDescent="0.25">
      <c r="A79" t="s">
        <v>45</v>
      </c>
      <c r="B79" t="s">
        <v>44</v>
      </c>
      <c r="C79" t="s">
        <v>20</v>
      </c>
      <c r="D79" s="6">
        <v>2.0889999999999999E-2</v>
      </c>
      <c r="E79" t="s">
        <v>7</v>
      </c>
      <c r="F79" t="s">
        <v>15</v>
      </c>
      <c r="G79" s="2"/>
      <c r="H79" s="2" t="s">
        <v>95</v>
      </c>
      <c r="I79" t="s">
        <v>33</v>
      </c>
    </row>
    <row r="80" spans="1:15" x14ac:dyDescent="0.25">
      <c r="A80" t="s">
        <v>43</v>
      </c>
      <c r="B80" t="s">
        <v>42</v>
      </c>
      <c r="C80" t="s">
        <v>4</v>
      </c>
      <c r="D80" s="7">
        <v>2.05E-4</v>
      </c>
      <c r="E80" t="s">
        <v>7</v>
      </c>
      <c r="F80" t="s">
        <v>15</v>
      </c>
      <c r="G80" s="2"/>
      <c r="H80" s="2" t="s">
        <v>95</v>
      </c>
    </row>
    <row r="81" spans="1:15" x14ac:dyDescent="0.25">
      <c r="A81" t="s">
        <v>93</v>
      </c>
      <c r="B81" t="s">
        <v>94</v>
      </c>
      <c r="C81" s="2" t="s">
        <v>20</v>
      </c>
      <c r="D81" s="7">
        <v>1.061E-4</v>
      </c>
      <c r="E81" t="s">
        <v>7</v>
      </c>
      <c r="F81" t="s">
        <v>15</v>
      </c>
      <c r="G81" s="2"/>
      <c r="H81" s="2" t="s">
        <v>95</v>
      </c>
    </row>
    <row r="82" spans="1:15" x14ac:dyDescent="0.25">
      <c r="A82" t="s">
        <v>96</v>
      </c>
      <c r="B82" t="s">
        <v>97</v>
      </c>
      <c r="C82" s="2" t="s">
        <v>20</v>
      </c>
      <c r="D82" s="7">
        <v>3.6400000000000004E-5</v>
      </c>
      <c r="E82" t="s">
        <v>7</v>
      </c>
      <c r="F82" t="s">
        <v>15</v>
      </c>
      <c r="G82" s="2"/>
      <c r="H82" s="2" t="s">
        <v>95</v>
      </c>
    </row>
    <row r="83" spans="1:15" x14ac:dyDescent="0.25">
      <c r="A83" t="s">
        <v>39</v>
      </c>
      <c r="B83" t="s">
        <v>38</v>
      </c>
      <c r="C83" t="s">
        <v>20</v>
      </c>
      <c r="D83" s="7">
        <f>(0.616+0.0000218)/1000</f>
        <v>6.1602179999999996E-4</v>
      </c>
      <c r="E83" s="8" t="s">
        <v>7</v>
      </c>
      <c r="F83" t="s">
        <v>15</v>
      </c>
      <c r="G83" s="2"/>
      <c r="H83" s="2" t="s">
        <v>95</v>
      </c>
    </row>
    <row r="84" spans="1:15" x14ac:dyDescent="0.25">
      <c r="A84" t="s">
        <v>37</v>
      </c>
      <c r="B84" t="s">
        <v>36</v>
      </c>
      <c r="C84" t="s">
        <v>4</v>
      </c>
      <c r="D84" s="7">
        <f>(0.000105+2.286)/1000</f>
        <v>2.2861050000000001E-3</v>
      </c>
      <c r="E84" s="8" t="s">
        <v>7</v>
      </c>
      <c r="F84" t="s">
        <v>15</v>
      </c>
      <c r="G84" s="2"/>
      <c r="H84" s="2" t="s">
        <v>95</v>
      </c>
      <c r="I84" t="s">
        <v>32</v>
      </c>
    </row>
    <row r="85" spans="1:15" x14ac:dyDescent="0.25">
      <c r="A85" t="s">
        <v>79</v>
      </c>
      <c r="B85" t="s">
        <v>57</v>
      </c>
      <c r="C85" t="s">
        <v>20</v>
      </c>
      <c r="D85" s="7">
        <v>-5.79E-2</v>
      </c>
      <c r="E85" t="s">
        <v>7</v>
      </c>
      <c r="F85" t="s">
        <v>15</v>
      </c>
      <c r="G85" s="8"/>
      <c r="H85" s="2" t="s">
        <v>95</v>
      </c>
    </row>
    <row r="86" spans="1:15" x14ac:dyDescent="0.25">
      <c r="A86" t="s">
        <v>98</v>
      </c>
      <c r="B86" t="s">
        <v>99</v>
      </c>
      <c r="C86" t="s">
        <v>4</v>
      </c>
      <c r="D86" s="7">
        <v>-0.16</v>
      </c>
      <c r="E86" t="s">
        <v>7</v>
      </c>
      <c r="F86" t="s">
        <v>15</v>
      </c>
      <c r="G86" s="8"/>
      <c r="H86" s="2" t="s">
        <v>95</v>
      </c>
    </row>
    <row r="87" spans="1:15" x14ac:dyDescent="0.25">
      <c r="A87" s="2" t="s">
        <v>21</v>
      </c>
      <c r="B87" s="2"/>
      <c r="C87" s="8"/>
      <c r="D87" s="6">
        <v>0.13800000000000001</v>
      </c>
      <c r="E87" t="s">
        <v>7</v>
      </c>
      <c r="F87" t="s">
        <v>22</v>
      </c>
      <c r="G87" s="2" t="s">
        <v>23</v>
      </c>
      <c r="H87" s="2" t="s">
        <v>40</v>
      </c>
      <c r="I87" s="2"/>
      <c r="J87" s="2"/>
      <c r="O87" s="2"/>
    </row>
    <row r="88" spans="1:15" x14ac:dyDescent="0.25">
      <c r="A88" t="s">
        <v>27</v>
      </c>
      <c r="B88" s="13"/>
      <c r="D88" s="7">
        <f>2.025/1000</f>
        <v>2.0249999999999999E-3</v>
      </c>
      <c r="E88" t="s">
        <v>26</v>
      </c>
      <c r="F88" t="s">
        <v>22</v>
      </c>
      <c r="G88" s="2" t="s">
        <v>28</v>
      </c>
      <c r="H88" s="2" t="s">
        <v>40</v>
      </c>
      <c r="I88" s="2"/>
    </row>
    <row r="89" spans="1:15" x14ac:dyDescent="0.25">
      <c r="A89" t="s">
        <v>84</v>
      </c>
      <c r="B89" s="8"/>
      <c r="D89" s="7">
        <f>0.405/1000</f>
        <v>4.0500000000000003E-4</v>
      </c>
      <c r="E89" t="s">
        <v>26</v>
      </c>
      <c r="F89" t="s">
        <v>22</v>
      </c>
      <c r="G89" s="2" t="s">
        <v>86</v>
      </c>
      <c r="H89" s="2" t="s">
        <v>40</v>
      </c>
      <c r="I89" s="2"/>
    </row>
    <row r="90" spans="1:15" x14ac:dyDescent="0.25">
      <c r="A90" s="2" t="s">
        <v>84</v>
      </c>
      <c r="B90" s="2"/>
      <c r="C90" s="2"/>
      <c r="D90" s="7">
        <f>1.215/1000</f>
        <v>1.2150000000000002E-3</v>
      </c>
      <c r="E90" t="s">
        <v>26</v>
      </c>
      <c r="F90" t="s">
        <v>22</v>
      </c>
      <c r="G90" s="2" t="s">
        <v>23</v>
      </c>
      <c r="H90" s="2" t="s">
        <v>40</v>
      </c>
      <c r="I90" s="2"/>
      <c r="J90" s="2"/>
      <c r="O90" s="2"/>
    </row>
    <row r="91" spans="1:15" s="4" customFormat="1" x14ac:dyDescent="0.25">
      <c r="A91" s="3"/>
      <c r="B91" s="3"/>
      <c r="C91" s="3"/>
      <c r="D91" s="3"/>
      <c r="E91" s="3"/>
      <c r="F91" s="3"/>
      <c r="G91" s="3"/>
      <c r="I91" s="3"/>
      <c r="J91" s="3"/>
      <c r="O91" s="3"/>
    </row>
    <row r="92" spans="1:15" x14ac:dyDescent="0.25">
      <c r="A92" s="5" t="s">
        <v>1</v>
      </c>
      <c r="B92" s="5" t="s">
        <v>80</v>
      </c>
      <c r="C92" s="2"/>
      <c r="E92" s="2"/>
      <c r="F92" s="2"/>
      <c r="G92" s="2"/>
      <c r="I92" s="2"/>
    </row>
    <row r="93" spans="1:15" x14ac:dyDescent="0.25">
      <c r="A93" s="5" t="s">
        <v>2</v>
      </c>
      <c r="B93" s="2" t="s">
        <v>70</v>
      </c>
      <c r="C93" s="2"/>
      <c r="E93" s="2"/>
      <c r="F93" s="2"/>
      <c r="G93" s="2"/>
      <c r="I93" s="2"/>
    </row>
    <row r="94" spans="1:15" x14ac:dyDescent="0.25">
      <c r="A94" s="5" t="s">
        <v>3</v>
      </c>
      <c r="B94" s="2" t="s">
        <v>4</v>
      </c>
      <c r="C94" s="2"/>
      <c r="E94" s="2"/>
      <c r="F94" s="2"/>
      <c r="G94" s="2"/>
      <c r="I94" s="2"/>
    </row>
    <row r="95" spans="1:15" x14ac:dyDescent="0.25">
      <c r="A95" s="5" t="s">
        <v>5</v>
      </c>
      <c r="B95" s="2">
        <v>1</v>
      </c>
      <c r="C95" s="2"/>
      <c r="E95" s="2"/>
      <c r="F95" s="2"/>
      <c r="G95" s="2"/>
      <c r="I95" s="2"/>
    </row>
    <row r="96" spans="1:15" x14ac:dyDescent="0.25">
      <c r="A96" s="5" t="s">
        <v>6</v>
      </c>
      <c r="B96" t="s">
        <v>7</v>
      </c>
      <c r="C96" s="2"/>
      <c r="E96" s="2"/>
      <c r="F96" s="2"/>
      <c r="G96" s="2"/>
      <c r="I96" s="2"/>
    </row>
    <row r="97" spans="1:15" x14ac:dyDescent="0.25">
      <c r="A97" s="5" t="s">
        <v>8</v>
      </c>
      <c r="B97" s="2" t="s">
        <v>8</v>
      </c>
      <c r="C97" s="2"/>
      <c r="E97" s="2"/>
      <c r="F97" s="2"/>
      <c r="G97" s="2"/>
      <c r="I97" s="2"/>
    </row>
    <row r="98" spans="1:15" x14ac:dyDescent="0.25">
      <c r="A98" s="5" t="s">
        <v>9</v>
      </c>
      <c r="B98" s="2"/>
      <c r="C98" s="2"/>
      <c r="E98" s="2"/>
      <c r="F98" s="2"/>
      <c r="G98" s="2"/>
      <c r="I98" s="2"/>
    </row>
    <row r="99" spans="1:15" x14ac:dyDescent="0.25">
      <c r="A99" s="5" t="s">
        <v>10</v>
      </c>
      <c r="B99" s="5" t="s">
        <v>2</v>
      </c>
      <c r="C99" s="5" t="s">
        <v>3</v>
      </c>
      <c r="D99" s="5" t="s">
        <v>11</v>
      </c>
      <c r="E99" s="5" t="s">
        <v>6</v>
      </c>
      <c r="F99" s="5" t="s">
        <v>12</v>
      </c>
      <c r="G99" s="5" t="s">
        <v>13</v>
      </c>
      <c r="H99" s="5" t="s">
        <v>0</v>
      </c>
      <c r="I99" s="5" t="s">
        <v>8</v>
      </c>
    </row>
    <row r="100" spans="1:15" x14ac:dyDescent="0.25">
      <c r="A100" s="2" t="str">
        <f>B92</f>
        <v>quicklime production, PFRK with carbon capture and storage, milled, loose</v>
      </c>
      <c r="B100" s="2" t="str">
        <f>B93</f>
        <v>quicklime, milled, loose</v>
      </c>
      <c r="C100" s="2" t="str">
        <f>B94</f>
        <v>GLO</v>
      </c>
      <c r="D100" s="6">
        <f>B95</f>
        <v>1</v>
      </c>
      <c r="E100" s="2" t="str">
        <f>B96</f>
        <v>kilogram</v>
      </c>
      <c r="F100" s="2" t="s">
        <v>14</v>
      </c>
      <c r="G100" s="2"/>
      <c r="H100" s="2" t="str">
        <f>B1</f>
        <v>reagents</v>
      </c>
      <c r="I100" s="2"/>
    </row>
    <row r="101" spans="1:15" x14ac:dyDescent="0.25">
      <c r="A101" t="s">
        <v>48</v>
      </c>
      <c r="B101" t="s">
        <v>49</v>
      </c>
      <c r="C101" t="s">
        <v>20</v>
      </c>
      <c r="D101" s="6">
        <v>1.8540000000000001</v>
      </c>
      <c r="E101" t="s">
        <v>7</v>
      </c>
      <c r="F101" t="s">
        <v>15</v>
      </c>
      <c r="G101" s="2"/>
      <c r="H101" s="2" t="s">
        <v>95</v>
      </c>
      <c r="I101" s="2" t="s">
        <v>90</v>
      </c>
    </row>
    <row r="102" spans="1:15" x14ac:dyDescent="0.25">
      <c r="A102" s="2" t="s">
        <v>16</v>
      </c>
      <c r="B102" s="2" t="s">
        <v>17</v>
      </c>
      <c r="C102" s="2" t="s">
        <v>4</v>
      </c>
      <c r="D102" s="6">
        <v>0.21789999999999998</v>
      </c>
      <c r="E102" s="2" t="s">
        <v>18</v>
      </c>
      <c r="F102" t="s">
        <v>15</v>
      </c>
      <c r="G102" s="2"/>
      <c r="H102" s="2" t="s">
        <v>95</v>
      </c>
      <c r="I102" s="2"/>
    </row>
    <row r="103" spans="1:15" x14ac:dyDescent="0.25">
      <c r="A103" s="2" t="s">
        <v>63</v>
      </c>
      <c r="B103" s="2" t="s">
        <v>64</v>
      </c>
      <c r="C103" s="2" t="s">
        <v>20</v>
      </c>
      <c r="D103" s="6">
        <v>1.9777711460872751</v>
      </c>
      <c r="E103" s="2" t="s">
        <v>19</v>
      </c>
      <c r="F103" t="s">
        <v>15</v>
      </c>
      <c r="G103" s="2"/>
      <c r="H103" s="2" t="s">
        <v>95</v>
      </c>
      <c r="I103" s="2" t="s">
        <v>73</v>
      </c>
      <c r="J103" s="2"/>
      <c r="O103" s="2"/>
    </row>
    <row r="104" spans="1:15" x14ac:dyDescent="0.25">
      <c r="A104" s="2" t="s">
        <v>65</v>
      </c>
      <c r="B104" s="2" t="s">
        <v>66</v>
      </c>
      <c r="C104" s="2" t="s">
        <v>20</v>
      </c>
      <c r="D104" s="6">
        <v>1.2582650795541861</v>
      </c>
      <c r="E104" s="2" t="s">
        <v>19</v>
      </c>
      <c r="F104" t="s">
        <v>15</v>
      </c>
      <c r="G104" s="2"/>
      <c r="H104" s="2" t="s">
        <v>95</v>
      </c>
      <c r="I104" s="2" t="s">
        <v>73</v>
      </c>
      <c r="J104" s="2"/>
      <c r="O104" s="2"/>
    </row>
    <row r="105" spans="1:15" x14ac:dyDescent="0.25">
      <c r="A105" s="2" t="s">
        <v>71</v>
      </c>
      <c r="B105" s="2" t="s">
        <v>64</v>
      </c>
      <c r="C105" s="2" t="s">
        <v>20</v>
      </c>
      <c r="D105" s="6">
        <v>0.27971401016751124</v>
      </c>
      <c r="E105" s="2" t="s">
        <v>19</v>
      </c>
      <c r="F105" t="s">
        <v>15</v>
      </c>
      <c r="G105" s="2"/>
      <c r="H105" s="2" t="s">
        <v>95</v>
      </c>
      <c r="I105" s="2" t="s">
        <v>73</v>
      </c>
      <c r="J105" s="2"/>
      <c r="O105" s="2"/>
    </row>
    <row r="106" spans="1:15" x14ac:dyDescent="0.25">
      <c r="A106" s="2" t="s">
        <v>72</v>
      </c>
      <c r="B106" s="2" t="s">
        <v>64</v>
      </c>
      <c r="C106" s="2" t="s">
        <v>20</v>
      </c>
      <c r="D106" s="6">
        <v>0.10398855105892515</v>
      </c>
      <c r="E106" s="2" t="s">
        <v>19</v>
      </c>
      <c r="F106" t="s">
        <v>15</v>
      </c>
      <c r="G106" s="2"/>
      <c r="H106" s="2" t="s">
        <v>95</v>
      </c>
      <c r="I106" s="2" t="s">
        <v>73</v>
      </c>
      <c r="J106" s="2"/>
      <c r="O106" s="2"/>
    </row>
    <row r="107" spans="1:15" x14ac:dyDescent="0.25">
      <c r="A107" s="2" t="s">
        <v>67</v>
      </c>
      <c r="B107" s="2" t="s">
        <v>64</v>
      </c>
      <c r="C107" s="2" t="s">
        <v>20</v>
      </c>
      <c r="D107" s="6">
        <v>8.026121313209951E-2</v>
      </c>
      <c r="E107" s="2" t="s">
        <v>19</v>
      </c>
      <c r="F107" t="s">
        <v>15</v>
      </c>
      <c r="G107" s="2"/>
      <c r="H107" s="2" t="s">
        <v>95</v>
      </c>
      <c r="I107" s="2" t="s">
        <v>73</v>
      </c>
      <c r="J107" s="2"/>
      <c r="O107" s="2"/>
    </row>
    <row r="108" spans="1:15" s="9" customFormat="1" x14ac:dyDescent="0.25">
      <c r="A108" s="11" t="s">
        <v>35</v>
      </c>
      <c r="B108" s="11" t="s">
        <v>34</v>
      </c>
      <c r="C108" s="11" t="s">
        <v>4</v>
      </c>
      <c r="D108" s="12">
        <v>1.4800000000000001E-2</v>
      </c>
      <c r="E108" s="11" t="s">
        <v>19</v>
      </c>
      <c r="F108" s="9" t="s">
        <v>15</v>
      </c>
      <c r="G108" s="11"/>
      <c r="H108" s="11" t="s">
        <v>95</v>
      </c>
      <c r="I108" s="11" t="s">
        <v>89</v>
      </c>
      <c r="J108" s="11"/>
      <c r="O108" s="11"/>
    </row>
    <row r="109" spans="1:15" x14ac:dyDescent="0.25">
      <c r="A109" t="s">
        <v>75</v>
      </c>
      <c r="B109" t="s">
        <v>74</v>
      </c>
      <c r="C109" t="s">
        <v>4</v>
      </c>
      <c r="D109" s="2">
        <v>1.1200000000000001E-12</v>
      </c>
      <c r="E109" t="s">
        <v>6</v>
      </c>
      <c r="F109" t="s">
        <v>15</v>
      </c>
      <c r="G109" s="2"/>
      <c r="H109" s="2" t="s">
        <v>95</v>
      </c>
      <c r="I109" s="2" t="s">
        <v>76</v>
      </c>
    </row>
    <row r="110" spans="1:15" x14ac:dyDescent="0.25">
      <c r="A110" t="s">
        <v>78</v>
      </c>
      <c r="B110" t="s">
        <v>77</v>
      </c>
      <c r="C110" t="s">
        <v>20</v>
      </c>
      <c r="D110" s="7">
        <v>1.6099999999999998E-5</v>
      </c>
      <c r="E110" t="s">
        <v>7</v>
      </c>
      <c r="F110" t="s">
        <v>15</v>
      </c>
      <c r="G110" s="2"/>
      <c r="H110" s="2" t="s">
        <v>95</v>
      </c>
      <c r="I110" s="2" t="s">
        <v>76</v>
      </c>
    </row>
    <row r="111" spans="1:15" x14ac:dyDescent="0.25">
      <c r="A111" t="s">
        <v>79</v>
      </c>
      <c r="B111" t="s">
        <v>57</v>
      </c>
      <c r="C111" t="s">
        <v>20</v>
      </c>
      <c r="D111" s="6">
        <v>5.5620000000000003E-2</v>
      </c>
      <c r="E111" t="s">
        <v>7</v>
      </c>
      <c r="F111" t="s">
        <v>15</v>
      </c>
      <c r="G111" s="2"/>
      <c r="H111" s="2" t="s">
        <v>95</v>
      </c>
      <c r="I111" s="2" t="s">
        <v>91</v>
      </c>
    </row>
    <row r="112" spans="1:15" x14ac:dyDescent="0.25">
      <c r="A112" t="s">
        <v>82</v>
      </c>
      <c r="B112" t="s">
        <v>81</v>
      </c>
      <c r="C112" t="s">
        <v>88</v>
      </c>
      <c r="D112" s="6">
        <v>0.78500000000000003</v>
      </c>
      <c r="E112" s="2" t="s">
        <v>7</v>
      </c>
      <c r="F112" t="s">
        <v>15</v>
      </c>
      <c r="G112" s="2"/>
      <c r="H112" s="2" t="s">
        <v>95</v>
      </c>
      <c r="I112" s="2" t="s">
        <v>92</v>
      </c>
    </row>
    <row r="113" spans="1:15" x14ac:dyDescent="0.25">
      <c r="A113" s="2" t="s">
        <v>21</v>
      </c>
      <c r="B113" s="2"/>
      <c r="C113" s="8"/>
      <c r="D113" s="6">
        <v>0</v>
      </c>
      <c r="E113" t="s">
        <v>7</v>
      </c>
      <c r="F113" t="s">
        <v>22</v>
      </c>
      <c r="G113" s="2" t="s">
        <v>23</v>
      </c>
      <c r="H113" s="2" t="s">
        <v>40</v>
      </c>
      <c r="I113" s="2" t="s">
        <v>92</v>
      </c>
      <c r="J113" s="2"/>
      <c r="O113" s="2"/>
    </row>
    <row r="114" spans="1:15" s="9" customFormat="1" x14ac:dyDescent="0.25">
      <c r="A114" s="11" t="s">
        <v>84</v>
      </c>
      <c r="B114" s="11"/>
      <c r="C114" s="11"/>
      <c r="D114" s="10">
        <v>1.6700000000000001E-8</v>
      </c>
      <c r="E114" s="9" t="s">
        <v>26</v>
      </c>
      <c r="F114" s="9" t="s">
        <v>22</v>
      </c>
      <c r="G114" s="11" t="s">
        <v>23</v>
      </c>
      <c r="H114" s="11" t="s">
        <v>40</v>
      </c>
      <c r="I114" s="11" t="s">
        <v>85</v>
      </c>
      <c r="J114" s="11"/>
      <c r="O114" s="11"/>
    </row>
    <row r="115" spans="1:15" s="9" customFormat="1" x14ac:dyDescent="0.25">
      <c r="A115" s="11" t="s">
        <v>84</v>
      </c>
      <c r="B115" s="11"/>
      <c r="C115" s="11"/>
      <c r="D115" s="10">
        <v>9.46E-8</v>
      </c>
      <c r="E115" s="9" t="s">
        <v>26</v>
      </c>
      <c r="F115" s="9" t="s">
        <v>22</v>
      </c>
      <c r="G115" s="11" t="s">
        <v>86</v>
      </c>
      <c r="H115" s="11" t="s">
        <v>40</v>
      </c>
      <c r="I115" s="11" t="s">
        <v>85</v>
      </c>
      <c r="J115" s="11"/>
      <c r="O115" s="11"/>
    </row>
    <row r="116" spans="1:15" s="4" customFormat="1" x14ac:dyDescent="0.25">
      <c r="A116" s="3"/>
      <c r="B116" s="3"/>
      <c r="C116" s="3"/>
      <c r="D116" s="3"/>
      <c r="E116" s="3"/>
      <c r="F116" s="3"/>
      <c r="G116" s="3"/>
      <c r="I116" s="3"/>
      <c r="J116" s="3"/>
      <c r="O116" s="3"/>
    </row>
    <row r="117" spans="1:15" x14ac:dyDescent="0.25">
      <c r="A117" s="5" t="s">
        <v>1</v>
      </c>
      <c r="B117" s="5" t="s">
        <v>69</v>
      </c>
      <c r="C117" s="2"/>
      <c r="E117" s="2"/>
      <c r="F117" s="2"/>
      <c r="G117" s="2"/>
      <c r="I117" s="2"/>
    </row>
    <row r="118" spans="1:15" x14ac:dyDescent="0.25">
      <c r="A118" s="5" t="s">
        <v>2</v>
      </c>
      <c r="B118" s="2" t="s">
        <v>70</v>
      </c>
      <c r="C118" s="2"/>
      <c r="E118" s="2"/>
      <c r="F118" s="2"/>
      <c r="G118" s="2"/>
      <c r="I118" s="2"/>
    </row>
    <row r="119" spans="1:15" x14ac:dyDescent="0.25">
      <c r="A119" s="5" t="s">
        <v>3</v>
      </c>
      <c r="B119" s="2" t="s">
        <v>4</v>
      </c>
      <c r="C119" s="2"/>
      <c r="E119" s="2"/>
      <c r="F119" s="2"/>
      <c r="G119" s="2"/>
      <c r="I119" s="2"/>
    </row>
    <row r="120" spans="1:15" x14ac:dyDescent="0.25">
      <c r="A120" s="5" t="s">
        <v>5</v>
      </c>
      <c r="B120" s="2">
        <v>1</v>
      </c>
      <c r="C120" s="2"/>
      <c r="E120" s="2"/>
      <c r="F120" s="2"/>
      <c r="G120" s="2"/>
      <c r="I120" s="2"/>
    </row>
    <row r="121" spans="1:15" x14ac:dyDescent="0.25">
      <c r="A121" s="5" t="s">
        <v>6</v>
      </c>
      <c r="B121" t="s">
        <v>7</v>
      </c>
      <c r="C121" s="2"/>
      <c r="E121" s="2"/>
      <c r="F121" s="2"/>
      <c r="G121" s="2"/>
      <c r="I121" s="2"/>
    </row>
    <row r="122" spans="1:15" x14ac:dyDescent="0.25">
      <c r="A122" s="5" t="s">
        <v>8</v>
      </c>
      <c r="B122" s="2" t="s">
        <v>8</v>
      </c>
      <c r="C122" s="2"/>
      <c r="E122" s="2"/>
      <c r="F122" s="2"/>
      <c r="G122" s="2"/>
      <c r="I122" s="2"/>
    </row>
    <row r="123" spans="1:15" x14ac:dyDescent="0.25">
      <c r="A123" s="5" t="s">
        <v>9</v>
      </c>
      <c r="B123" s="2"/>
      <c r="C123" s="2"/>
      <c r="E123" s="2"/>
      <c r="F123" s="2"/>
      <c r="G123" s="2"/>
      <c r="I123" s="2"/>
    </row>
    <row r="124" spans="1:15" x14ac:dyDescent="0.25">
      <c r="A124" s="5" t="s">
        <v>10</v>
      </c>
      <c r="B124" s="5" t="s">
        <v>2</v>
      </c>
      <c r="C124" s="5" t="s">
        <v>3</v>
      </c>
      <c r="D124" s="5" t="s">
        <v>11</v>
      </c>
      <c r="E124" s="5" t="s">
        <v>6</v>
      </c>
      <c r="F124" s="5" t="s">
        <v>12</v>
      </c>
      <c r="G124" s="5" t="s">
        <v>13</v>
      </c>
      <c r="H124" s="5" t="s">
        <v>0</v>
      </c>
      <c r="I124" s="5" t="s">
        <v>8</v>
      </c>
    </row>
    <row r="125" spans="1:15" x14ac:dyDescent="0.25">
      <c r="A125" s="2" t="str">
        <f>B117</f>
        <v>quicklime production, PFRK, milled, loose</v>
      </c>
      <c r="B125" s="2" t="str">
        <f>B118</f>
        <v>quicklime, milled, loose</v>
      </c>
      <c r="C125" s="2" t="str">
        <f>B119</f>
        <v>GLO</v>
      </c>
      <c r="D125" s="6">
        <f>B120</f>
        <v>1</v>
      </c>
      <c r="E125" s="2" t="str">
        <f>B121</f>
        <v>kilogram</v>
      </c>
      <c r="F125" s="2" t="s">
        <v>14</v>
      </c>
      <c r="G125" s="2"/>
      <c r="H125" s="2" t="str">
        <f>B1</f>
        <v>reagents</v>
      </c>
      <c r="I125" s="2"/>
    </row>
    <row r="126" spans="1:15" x14ac:dyDescent="0.25">
      <c r="A126" t="s">
        <v>48</v>
      </c>
      <c r="B126" t="s">
        <v>49</v>
      </c>
      <c r="C126" t="s">
        <v>20</v>
      </c>
      <c r="D126" s="6">
        <v>1.8540000000000001</v>
      </c>
      <c r="E126" t="s">
        <v>7</v>
      </c>
      <c r="F126" t="s">
        <v>15</v>
      </c>
      <c r="G126" s="2"/>
      <c r="H126" s="2" t="s">
        <v>95</v>
      </c>
      <c r="I126" s="2" t="s">
        <v>90</v>
      </c>
    </row>
    <row r="127" spans="1:15" x14ac:dyDescent="0.25">
      <c r="A127" s="2" t="s">
        <v>16</v>
      </c>
      <c r="B127" s="2" t="s">
        <v>17</v>
      </c>
      <c r="C127" s="2" t="s">
        <v>4</v>
      </c>
      <c r="D127" s="6">
        <v>5.5E-2</v>
      </c>
      <c r="E127" s="2" t="s">
        <v>18</v>
      </c>
      <c r="F127" t="s">
        <v>15</v>
      </c>
      <c r="G127" s="2"/>
      <c r="H127" s="2" t="s">
        <v>95</v>
      </c>
      <c r="I127" s="2"/>
    </row>
    <row r="128" spans="1:15" x14ac:dyDescent="0.25">
      <c r="A128" s="2" t="s">
        <v>63</v>
      </c>
      <c r="B128" s="2" t="s">
        <v>64</v>
      </c>
      <c r="C128" s="2" t="s">
        <v>20</v>
      </c>
      <c r="D128" s="6">
        <v>1.9777711460872751</v>
      </c>
      <c r="E128" s="2" t="s">
        <v>19</v>
      </c>
      <c r="F128" t="s">
        <v>15</v>
      </c>
      <c r="G128" s="2"/>
      <c r="H128" s="2" t="s">
        <v>95</v>
      </c>
      <c r="I128" s="2" t="s">
        <v>73</v>
      </c>
      <c r="J128" s="2"/>
      <c r="O128" s="2"/>
    </row>
    <row r="129" spans="1:15" x14ac:dyDescent="0.25">
      <c r="A129" s="2" t="s">
        <v>65</v>
      </c>
      <c r="B129" s="2" t="s">
        <v>66</v>
      </c>
      <c r="C129" s="2" t="s">
        <v>20</v>
      </c>
      <c r="D129" s="6">
        <v>1.2582650795541861</v>
      </c>
      <c r="E129" s="2" t="s">
        <v>19</v>
      </c>
      <c r="F129" t="s">
        <v>15</v>
      </c>
      <c r="G129" s="2"/>
      <c r="H129" s="2" t="s">
        <v>95</v>
      </c>
      <c r="I129" s="2" t="s">
        <v>73</v>
      </c>
      <c r="J129" s="2"/>
      <c r="O129" s="2"/>
    </row>
    <row r="130" spans="1:15" x14ac:dyDescent="0.25">
      <c r="A130" s="2" t="s">
        <v>71</v>
      </c>
      <c r="B130" s="2" t="s">
        <v>64</v>
      </c>
      <c r="C130" s="2" t="s">
        <v>20</v>
      </c>
      <c r="D130" s="6">
        <v>0.27971401016751124</v>
      </c>
      <c r="E130" s="2" t="s">
        <v>19</v>
      </c>
      <c r="F130" t="s">
        <v>15</v>
      </c>
      <c r="G130" s="2"/>
      <c r="H130" s="2" t="s">
        <v>95</v>
      </c>
      <c r="I130" s="2" t="s">
        <v>73</v>
      </c>
      <c r="J130" s="2"/>
      <c r="O130" s="2"/>
    </row>
    <row r="131" spans="1:15" x14ac:dyDescent="0.25">
      <c r="A131" s="2" t="s">
        <v>72</v>
      </c>
      <c r="B131" s="2" t="s">
        <v>64</v>
      </c>
      <c r="C131" s="2" t="s">
        <v>20</v>
      </c>
      <c r="D131" s="6">
        <v>0.10398855105892515</v>
      </c>
      <c r="E131" s="2" t="s">
        <v>19</v>
      </c>
      <c r="F131" t="s">
        <v>15</v>
      </c>
      <c r="G131" s="2"/>
      <c r="H131" s="2" t="s">
        <v>95</v>
      </c>
      <c r="I131" s="2" t="s">
        <v>73</v>
      </c>
      <c r="J131" s="2"/>
      <c r="O131" s="2"/>
    </row>
    <row r="132" spans="1:15" x14ac:dyDescent="0.25">
      <c r="A132" s="2" t="s">
        <v>67</v>
      </c>
      <c r="B132" s="2" t="s">
        <v>64</v>
      </c>
      <c r="C132" s="2" t="s">
        <v>20</v>
      </c>
      <c r="D132" s="6">
        <v>8.026121313209951E-2</v>
      </c>
      <c r="E132" s="2" t="s">
        <v>19</v>
      </c>
      <c r="F132" t="s">
        <v>15</v>
      </c>
      <c r="G132" s="2"/>
      <c r="H132" s="2" t="s">
        <v>95</v>
      </c>
      <c r="I132" s="2" t="s">
        <v>73</v>
      </c>
      <c r="J132" s="2"/>
      <c r="O132" s="2"/>
    </row>
    <row r="133" spans="1:15" s="9" customFormat="1" x14ac:dyDescent="0.25">
      <c r="A133" s="11" t="s">
        <v>35</v>
      </c>
      <c r="B133" s="11" t="s">
        <v>34</v>
      </c>
      <c r="C133" s="11" t="s">
        <v>4</v>
      </c>
      <c r="D133" s="12">
        <v>1.4800000000000001E-2</v>
      </c>
      <c r="E133" s="11" t="s">
        <v>19</v>
      </c>
      <c r="F133" s="9" t="s">
        <v>15</v>
      </c>
      <c r="G133" s="11"/>
      <c r="H133" s="11" t="s">
        <v>95</v>
      </c>
      <c r="I133" s="11" t="s">
        <v>89</v>
      </c>
      <c r="J133" s="11"/>
      <c r="O133" s="11"/>
    </row>
    <row r="134" spans="1:15" x14ac:dyDescent="0.25">
      <c r="A134" t="s">
        <v>75</v>
      </c>
      <c r="B134" t="s">
        <v>74</v>
      </c>
      <c r="C134" t="s">
        <v>4</v>
      </c>
      <c r="D134" s="2">
        <v>1.1200000000000001E-12</v>
      </c>
      <c r="E134" t="s">
        <v>6</v>
      </c>
      <c r="F134" t="s">
        <v>15</v>
      </c>
      <c r="G134" s="2"/>
      <c r="H134" s="2" t="s">
        <v>95</v>
      </c>
      <c r="I134" s="2" t="s">
        <v>76</v>
      </c>
    </row>
    <row r="135" spans="1:15" x14ac:dyDescent="0.25">
      <c r="A135" t="s">
        <v>78</v>
      </c>
      <c r="B135" t="s">
        <v>77</v>
      </c>
      <c r="C135" t="s">
        <v>20</v>
      </c>
      <c r="D135" s="7">
        <v>1.6099999999999998E-5</v>
      </c>
      <c r="E135" t="s">
        <v>7</v>
      </c>
      <c r="F135" t="s">
        <v>15</v>
      </c>
      <c r="G135" s="2"/>
      <c r="H135" s="2" t="s">
        <v>95</v>
      </c>
      <c r="I135" s="2" t="s">
        <v>76</v>
      </c>
    </row>
    <row r="136" spans="1:15" x14ac:dyDescent="0.25">
      <c r="A136" t="s">
        <v>79</v>
      </c>
      <c r="B136" t="s">
        <v>57</v>
      </c>
      <c r="C136" t="s">
        <v>20</v>
      </c>
      <c r="D136" s="6">
        <v>5.5620000000000003E-2</v>
      </c>
      <c r="E136" t="s">
        <v>7</v>
      </c>
      <c r="F136" t="s">
        <v>15</v>
      </c>
      <c r="G136" s="2"/>
      <c r="H136" s="2" t="s">
        <v>95</v>
      </c>
      <c r="I136" s="2" t="s">
        <v>91</v>
      </c>
    </row>
    <row r="137" spans="1:15" x14ac:dyDescent="0.25">
      <c r="A137" s="2" t="s">
        <v>21</v>
      </c>
      <c r="B137" s="2"/>
      <c r="C137" s="8"/>
      <c r="D137" s="6">
        <v>0.78500000000000003</v>
      </c>
      <c r="E137" t="s">
        <v>7</v>
      </c>
      <c r="F137" t="s">
        <v>22</v>
      </c>
      <c r="G137" s="2" t="s">
        <v>23</v>
      </c>
      <c r="H137" s="2" t="s">
        <v>40</v>
      </c>
      <c r="I137" s="2" t="s">
        <v>83</v>
      </c>
      <c r="J137" s="2"/>
      <c r="O137" s="2"/>
    </row>
    <row r="138" spans="1:15" s="9" customFormat="1" x14ac:dyDescent="0.25">
      <c r="A138" s="11" t="s">
        <v>84</v>
      </c>
      <c r="B138" s="11"/>
      <c r="C138" s="11"/>
      <c r="D138" s="10">
        <v>1.6700000000000001E-8</v>
      </c>
      <c r="E138" s="9" t="s">
        <v>26</v>
      </c>
      <c r="F138" s="9" t="s">
        <v>22</v>
      </c>
      <c r="G138" s="11" t="s">
        <v>23</v>
      </c>
      <c r="H138" s="11" t="s">
        <v>40</v>
      </c>
      <c r="I138" s="11" t="s">
        <v>85</v>
      </c>
      <c r="J138" s="11"/>
      <c r="O138" s="11"/>
    </row>
    <row r="139" spans="1:15" s="9" customFormat="1" x14ac:dyDescent="0.25">
      <c r="A139" s="11" t="s">
        <v>84</v>
      </c>
      <c r="B139" s="11"/>
      <c r="C139" s="11"/>
      <c r="D139" s="10">
        <v>9.46E-8</v>
      </c>
      <c r="E139" s="9" t="s">
        <v>26</v>
      </c>
      <c r="F139" s="9" t="s">
        <v>22</v>
      </c>
      <c r="G139" s="11" t="s">
        <v>86</v>
      </c>
      <c r="H139" s="11" t="s">
        <v>40</v>
      </c>
      <c r="I139" s="11" t="s">
        <v>85</v>
      </c>
      <c r="J139" s="11"/>
      <c r="O139" s="11"/>
    </row>
    <row r="140" spans="1:15" s="4" customFormat="1" x14ac:dyDescent="0.25">
      <c r="A140" s="3"/>
      <c r="B140" s="3"/>
      <c r="C140" s="3"/>
      <c r="D140" s="3"/>
      <c r="E140" s="3"/>
      <c r="F140" s="3"/>
      <c r="G140" s="3"/>
      <c r="I140" s="3"/>
      <c r="J140" s="3"/>
      <c r="O140" s="3"/>
    </row>
  </sheetData>
  <pageMargins left="0.7" right="0.7" top="0.75" bottom="0.75" header="0.3" footer="0.3"/>
  <pageSetup paperSize="9" orientation="portrait" r:id="rId1"/>
  <headerFooter>
    <oddFooter>&amp;L_x000D_&amp;1#&amp;"Calibri"&amp;10&amp;K000000 Classified as Internal | Intern</oddFooter>
  </headerFooter>
</worksheet>
</file>

<file path=docMetadata/LabelInfo.xml><?xml version="1.0" encoding="utf-8"?>
<clbl:labelList xmlns:clbl="http://schemas.microsoft.com/office/2020/mipLabelMetadata">
  <clbl:label id="{d465f887-04a9-4c17-8b62-103eddccf68b}" enabled="1" method="Standard" siteId="{ca2a7f76-dbd7-4ec0-9108-6b3d524fb7c8}"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lci-reagents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Istrate, I.R. (Robert)</dc:creator>
  <cp:lastModifiedBy>Istrate, I.R. (Robert)</cp:lastModifiedBy>
  <dcterms:created xsi:type="dcterms:W3CDTF">2015-06-05T18:19:34Z</dcterms:created>
  <dcterms:modified xsi:type="dcterms:W3CDTF">2025-11-13T09:29:10Z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465f887-04a9-4c17-8b62-103eddccf68b_Enabled">
    <vt:lpwstr>true</vt:lpwstr>
  </property>
  <property fmtid="{D5CDD505-2E9C-101B-9397-08002B2CF9AE}" pid="3" name="MSIP_Label_d465f887-04a9-4c17-8b62-103eddccf68b_SetDate">
    <vt:lpwstr>2025-11-04T12:14:54Z</vt:lpwstr>
  </property>
  <property fmtid="{D5CDD505-2E9C-101B-9397-08002B2CF9AE}" pid="4" name="MSIP_Label_d465f887-04a9-4c17-8b62-103eddccf68b_Method">
    <vt:lpwstr>Standard</vt:lpwstr>
  </property>
  <property fmtid="{D5CDD505-2E9C-101B-9397-08002B2CF9AE}" pid="5" name="MSIP_Label_d465f887-04a9-4c17-8b62-103eddccf68b_Name">
    <vt:lpwstr>Internal - Intern</vt:lpwstr>
  </property>
  <property fmtid="{D5CDD505-2E9C-101B-9397-08002B2CF9AE}" pid="6" name="MSIP_Label_d465f887-04a9-4c17-8b62-103eddccf68b_SiteId">
    <vt:lpwstr>ca2a7f76-dbd7-4ec0-9108-6b3d524fb7c8</vt:lpwstr>
  </property>
  <property fmtid="{D5CDD505-2E9C-101B-9397-08002B2CF9AE}" pid="7" name="MSIP_Label_d465f887-04a9-4c17-8b62-103eddccf68b_ActionId">
    <vt:lpwstr>1f1ebe52-d588-425a-9d37-48b0d8441af0</vt:lpwstr>
  </property>
  <property fmtid="{D5CDD505-2E9C-101B-9397-08002B2CF9AE}" pid="8" name="MSIP_Label_d465f887-04a9-4c17-8b62-103eddccf68b_ContentBits">
    <vt:lpwstr>2</vt:lpwstr>
  </property>
  <property fmtid="{D5CDD505-2E9C-101B-9397-08002B2CF9AE}" pid="9" name="MSIP_Label_d465f887-04a9-4c17-8b62-103eddccf68b_Tag">
    <vt:lpwstr>10, 3, 0, 1</vt:lpwstr>
  </property>
</Properties>
</file>