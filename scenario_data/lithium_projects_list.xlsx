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scenario_data/"/>
    </mc:Choice>
  </mc:AlternateContent>
  <xr:revisionPtr revIDLastSave="1615" documentId="11_AD4DB114E441178AC67DF4902691E15C683EDF20" xr6:coauthVersionLast="47" xr6:coauthVersionMax="47" xr10:uidLastSave="{765C1F83-4940-4420-AE39-D3FDA1FB502F}"/>
  <bookViews>
    <workbookView xWindow="-120" yWindow="-120" windowWidth="29040" windowHeight="15720" xr2:uid="{00000000-000D-0000-FFFF-FFFF00000000}"/>
  </bookViews>
  <sheets>
    <sheet name="map" sheetId="4" r:id="rId1"/>
  </sheets>
  <definedNames>
    <definedName name="_xlnm._FilterDatabase" localSheetId="0" hidden="1">map!$A$1:$M$1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<sst xmlns="http://schemas.openxmlformats.org/spreadsheetml/2006/main" count="285" uniqueCount="126">
  <si>
    <t>df_rotary_dryer_Chaerhan</t>
  </si>
  <si>
    <t>df_rotary_dryer_Fenix</t>
  </si>
  <si>
    <t>df_rotary_dryer_Kachi</t>
  </si>
  <si>
    <t>df_rotary_dryer_Maricunga</t>
  </si>
  <si>
    <t>Kachi</t>
  </si>
  <si>
    <t>Maricunga</t>
  </si>
  <si>
    <t>Qinghai Yiliping</t>
  </si>
  <si>
    <t>df_rotary_dryer_Qinghai Yiliping</t>
  </si>
  <si>
    <t>Sal de los Angeles</t>
  </si>
  <si>
    <t>df_rotary_dryer_Sal de los Angeles</t>
  </si>
  <si>
    <t>Sal de Vida</t>
  </si>
  <si>
    <t>df_rotary_dryer_Sal de Vida</t>
  </si>
  <si>
    <t>df_rotary_dryer_Salar de Arizaro</t>
  </si>
  <si>
    <t>Salar de Atacama</t>
  </si>
  <si>
    <t>df_rotary_dryer_Salar de Atacama</t>
  </si>
  <si>
    <t>df_rotary_dryer_Salar de Cauchari-Olaroz</t>
  </si>
  <si>
    <t>df_rotary_dryer_Salar de Centenario</t>
  </si>
  <si>
    <t>Salar de Olaroz</t>
  </si>
  <si>
    <t>df_rotary_dryer_Salar de Olaroz</t>
  </si>
  <si>
    <t>df_rotary_dryer_Salar de Pastos Grandes</t>
  </si>
  <si>
    <t>Salar de Tolillar</t>
  </si>
  <si>
    <t>df_rotary_dryer_Salar de Tolillar</t>
  </si>
  <si>
    <t>df_rotary_dryer_Salar de Uyuni</t>
  </si>
  <si>
    <t>df_rotary_dryer_Salar del Hombre Muerto North</t>
  </si>
  <si>
    <t>Salar del Rincon</t>
  </si>
  <si>
    <t>df_rotary_dryer_Salar del Rincon</t>
  </si>
  <si>
    <t>Silver Peak</t>
  </si>
  <si>
    <t>df_rotary_dryer_Silver Peak</t>
  </si>
  <si>
    <t>Tres Quebradas</t>
  </si>
  <si>
    <t>df_rotary_dryer_Tres Quebradas</t>
  </si>
  <si>
    <t>df_rotary_dryer_Upper Rhine Graben</t>
  </si>
  <si>
    <t>LCI dataset</t>
  </si>
  <si>
    <t>East Taijinair</t>
  </si>
  <si>
    <t>Lakkor Tso Salt Lake</t>
  </si>
  <si>
    <t>Salar del Hombre Muerto</t>
  </si>
  <si>
    <t>Uyuni Salt Flat</t>
  </si>
  <si>
    <t>Zhabuye</t>
  </si>
  <si>
    <t>Chaerhan Lake</t>
  </si>
  <si>
    <t>Hombre Muerto North</t>
  </si>
  <si>
    <t>Cuenca Centenario-Ratones</t>
  </si>
  <si>
    <t>Pastos Grandes</t>
  </si>
  <si>
    <t>Vulcan</t>
  </si>
  <si>
    <t>Fenix is the new name of this project</t>
  </si>
  <si>
    <t>https://rslithium.com/research-report-on-lithium-extraction-from-salt-lakes/</t>
  </si>
  <si>
    <t>Cauchari-Olaroz</t>
  </si>
  <si>
    <t>Salar De Arizaro</t>
  </si>
  <si>
    <t>Country</t>
  </si>
  <si>
    <t>Project name</t>
  </si>
  <si>
    <t>AR</t>
  </si>
  <si>
    <t>BO</t>
  </si>
  <si>
    <t>CL</t>
  </si>
  <si>
    <t>CN</t>
  </si>
  <si>
    <t>DE</t>
  </si>
  <si>
    <t>US</t>
  </si>
  <si>
    <t>Technology</t>
  </si>
  <si>
    <t>DLE</t>
  </si>
  <si>
    <t>Geothermal</t>
  </si>
  <si>
    <t>PPG</t>
  </si>
  <si>
    <t>Pozuelos-Pastos Grandes</t>
  </si>
  <si>
    <t>df_rotary_dryer_Pozuelos</t>
  </si>
  <si>
    <t>Li concentration</t>
  </si>
  <si>
    <t>df_rotary_dryer_Zhabuye</t>
  </si>
  <si>
    <t>df_rotary_dryer_Lakkor Tso</t>
  </si>
  <si>
    <t>df_rotary_dryer_East Taijinar</t>
  </si>
  <si>
    <t>Development stage</t>
  </si>
  <si>
    <t>Operating</t>
  </si>
  <si>
    <t>Construction Started</t>
  </si>
  <si>
    <t>Prefeas/Scoping</t>
  </si>
  <si>
    <t>Construction Planned</t>
  </si>
  <si>
    <t>Commissioning</t>
  </si>
  <si>
    <t>Preproduction</t>
  </si>
  <si>
    <t>Expansion</t>
  </si>
  <si>
    <t>Feasibility Complete</t>
  </si>
  <si>
    <t>Comments</t>
  </si>
  <si>
    <t>Name in S&amp;P</t>
  </si>
  <si>
    <t>Salar de Cauchari-Olaroz</t>
  </si>
  <si>
    <t>Chaerhan</t>
  </si>
  <si>
    <t>Salar de Centenario</t>
  </si>
  <si>
    <t>Salar de Pastos Grandes</t>
  </si>
  <si>
    <t>Pozuelos</t>
  </si>
  <si>
    <t>Salar de Arizaro</t>
  </si>
  <si>
    <t>Fenix</t>
  </si>
  <si>
    <t>Salar de Uyuni</t>
  </si>
  <si>
    <t>Upper Rhine Graben</t>
  </si>
  <si>
    <t>East Taijinar</t>
  </si>
  <si>
    <t>Lakkor Tso</t>
  </si>
  <si>
    <t>Salar del Hombre Muerto North</t>
  </si>
  <si>
    <t>Location</t>
  </si>
  <si>
    <t>CN-NWG</t>
  </si>
  <si>
    <t>Status</t>
  </si>
  <si>
    <t>Announced</t>
  </si>
  <si>
    <t>Production started Diciembre 2024: https://www.eramet.com/es/actividades/litio/</t>
  </si>
  <si>
    <t>Brine extraction + adsorption + membrane coupling (titanium-based adsorbent); "Phase 1, with an annual capacity of 20,000 tonnes of lithium salt products, has been completed and is in operation. Phase 2, with a capacity of 40,000 tonnes per annum, is scheduled for commissioning by the end of June 2026. Upon reaching nameplate capacity, the project will have a total lithium salt production capacity of 60,000 tonnes per annum." https://www.zijinmining.com/global/program-detail-71785.htm</t>
  </si>
  <si>
    <t>https://news.metal.com/newscontent/101559455/the-output-of-lithium-salt-in-qinghai-is-close-to-100000-tons-year-and-the-world-class-industrial-base-of-extracting-lithium-from-salt-lake-is-ready-to-be-developed; https://www.woodmac.com/reports/metals-yiliping-lithium-brine-555014/</t>
  </si>
  <si>
    <t>https://www.zijinmining.com/global/program-detail-71747.htm</t>
  </si>
  <si>
    <t>Evaporitic</t>
  </si>
  <si>
    <t>Electricity supply</t>
  </si>
  <si>
    <t>Heat supply</t>
  </si>
  <si>
    <t>natural_gas</t>
  </si>
  <si>
    <t>electricity_grid</t>
  </si>
  <si>
    <t>diesel</t>
  </si>
  <si>
    <t>propane</t>
  </si>
  <si>
    <t>natural_gas_CHP</t>
  </si>
  <si>
    <t>Same energy source as Cauchari-Olaroz</t>
  </si>
  <si>
    <t>electric_boiler</t>
  </si>
  <si>
    <t>diesel_CHP</t>
  </si>
  <si>
    <t>US-WECC</t>
  </si>
  <si>
    <t>Centenario</t>
  </si>
  <si>
    <t>Atacama</t>
  </si>
  <si>
    <t>Olaroz</t>
  </si>
  <si>
    <t>Arizaro</t>
  </si>
  <si>
    <t>Tolillar</t>
  </si>
  <si>
    <t>Rincon</t>
  </si>
  <si>
    <t>Uyuni</t>
  </si>
  <si>
    <t>name_figure</t>
  </si>
  <si>
    <t>Cauchari-\nOlaroz</t>
  </si>
  <si>
    <t>Tres\nQuebradas</t>
  </si>
  <si>
    <t>Pastos\nGrandes</t>
  </si>
  <si>
    <t>Qinghai\nYiliping</t>
  </si>
  <si>
    <t>East\nTaijinar</t>
  </si>
  <si>
    <t>Lakkor\nTso</t>
  </si>
  <si>
    <t>Silver\nPeak</t>
  </si>
  <si>
    <t>Hombre\nMuerto\nNorth</t>
  </si>
  <si>
    <t>Upper\nRhine\nGraben</t>
  </si>
  <si>
    <t>Sal\nde los\nAngeles</t>
  </si>
  <si>
    <t>Sal de\nVida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</si>
</sst>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0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10" fontId="3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/>
    </xf>
    <xf numFmtId="10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10" fontId="3" fillId="0" borderId="0" xfId="0" applyNumberFormat="1" applyFont="1" applyAlignment="1">
      <alignment horizontal="left"/>
    </xf>
    <xf numFmtId="11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/>
    <xf numFmtId="0" fontId="7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jinmining.com/global/program-detail-71747.htm" TargetMode="External"/><Relationship Id="rId2" Type="http://schemas.openxmlformats.org/officeDocument/2006/relationships/hyperlink" Target="https://news.metal.com/newscontent/101559455/the-output-of-lithium-salt-in-qinghai-is-close-to-100000-tons-year-and-the-world-class-industrial-base-of-extracting-lithium-from-salt-lake-is-ready-to-be-developed" TargetMode="External"/><Relationship Id="rId1" Type="http://schemas.openxmlformats.org/officeDocument/2006/relationships/hyperlink" Target="https://rslithium.com/research-report-on-lithium-extraction-from-salt-lake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4C04-C08C-42E7-81A2-6ED32579CCCF}">
  <dimension ref="A1:M36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21" sqref="L21"/>
    </sheetView>
  </sheetViews>
  <sheetFormatPr defaultColWidth="8.7109375" defaultRowHeight="12.75" x14ac:dyDescent="0.2"/>
  <cols>
    <col min="1" max="1" width="26.140625" style="2" bestFit="1" customWidth="1"/>
    <col min="2" max="2" width="23" style="2" customWidth="1"/>
    <col min="3" max="3" width="9.5703125" style="2" bestFit="1" customWidth="1"/>
    <col min="4" max="4" width="9.85546875" style="2" bestFit="1" customWidth="1"/>
    <col min="5" max="5" width="18.7109375" style="2" bestFit="1" customWidth="1"/>
    <col min="6" max="6" width="9.7109375" style="2" bestFit="1" customWidth="1"/>
    <col min="7" max="7" width="12" style="2" bestFit="1" customWidth="1"/>
    <col min="8" max="8" width="39.7109375" style="2" bestFit="1" customWidth="1"/>
    <col min="9" max="9" width="16" style="2" bestFit="1" customWidth="1"/>
    <col min="10" max="11" width="16" style="2" customWidth="1"/>
    <col min="12" max="12" width="23" style="2" customWidth="1"/>
    <col min="13" max="13" width="99.42578125" style="2" bestFit="1" customWidth="1"/>
    <col min="14" max="14" width="8.7109375" style="13"/>
    <col min="15" max="15" width="29.28515625" style="13" bestFit="1" customWidth="1"/>
    <col min="16" max="16384" width="8.7109375" style="13"/>
  </cols>
  <sheetData>
    <row r="1" spans="1:13" ht="13.5" thickBot="1" x14ac:dyDescent="0.25">
      <c r="A1" s="1" t="s">
        <v>47</v>
      </c>
      <c r="B1" s="1" t="s">
        <v>74</v>
      </c>
      <c r="C1" s="1" t="s">
        <v>46</v>
      </c>
      <c r="D1" s="1" t="s">
        <v>87</v>
      </c>
      <c r="E1" s="1" t="s">
        <v>64</v>
      </c>
      <c r="F1" s="1" t="s">
        <v>89</v>
      </c>
      <c r="G1" s="1" t="s">
        <v>54</v>
      </c>
      <c r="H1" s="1" t="s">
        <v>31</v>
      </c>
      <c r="I1" s="1" t="s">
        <v>60</v>
      </c>
      <c r="J1" s="1" t="s">
        <v>96</v>
      </c>
      <c r="K1" s="1" t="s">
        <v>97</v>
      </c>
      <c r="L1" s="1" t="s">
        <v>114</v>
      </c>
      <c r="M1" s="1" t="s">
        <v>73</v>
      </c>
    </row>
    <row r="2" spans="1:13" x14ac:dyDescent="0.2">
      <c r="A2" s="3" t="s">
        <v>75</v>
      </c>
      <c r="B2" s="3" t="s">
        <v>44</v>
      </c>
      <c r="C2" s="3" t="s">
        <v>48</v>
      </c>
      <c r="D2" s="3" t="s">
        <v>48</v>
      </c>
      <c r="E2" s="12" t="s">
        <v>71</v>
      </c>
      <c r="F2" s="12" t="s">
        <v>65</v>
      </c>
      <c r="G2" s="3" t="s">
        <v>95</v>
      </c>
      <c r="H2" s="2" t="s">
        <v>15</v>
      </c>
      <c r="I2" s="8">
        <v>5.0000000000000001E-4</v>
      </c>
      <c r="J2" s="8" t="s">
        <v>99</v>
      </c>
      <c r="K2" s="8" t="s">
        <v>98</v>
      </c>
      <c r="L2" s="3" t="s">
        <v>115</v>
      </c>
    </row>
    <row r="3" spans="1:13" x14ac:dyDescent="0.2">
      <c r="A3" s="3" t="s">
        <v>76</v>
      </c>
      <c r="B3" s="3" t="s">
        <v>37</v>
      </c>
      <c r="C3" s="3" t="s">
        <v>51</v>
      </c>
      <c r="D3" s="3" t="s">
        <v>88</v>
      </c>
      <c r="E3" s="12" t="s">
        <v>65</v>
      </c>
      <c r="F3" s="12" t="s">
        <v>65</v>
      </c>
      <c r="G3" s="3" t="s">
        <v>55</v>
      </c>
      <c r="H3" s="2" t="s">
        <v>0</v>
      </c>
      <c r="I3" s="8">
        <v>6.6169154228855711E-4</v>
      </c>
      <c r="J3" s="8" t="s">
        <v>99</v>
      </c>
      <c r="K3" s="8" t="s">
        <v>98</v>
      </c>
      <c r="L3" s="3" t="s">
        <v>76</v>
      </c>
    </row>
    <row r="4" spans="1:13" x14ac:dyDescent="0.2">
      <c r="A4" s="3" t="s">
        <v>77</v>
      </c>
      <c r="B4" s="3" t="s">
        <v>39</v>
      </c>
      <c r="C4" s="3" t="s">
        <v>48</v>
      </c>
      <c r="D4" s="3" t="s">
        <v>48</v>
      </c>
      <c r="E4" s="12" t="s">
        <v>65</v>
      </c>
      <c r="F4" s="12" t="s">
        <v>65</v>
      </c>
      <c r="G4" s="3" t="s">
        <v>55</v>
      </c>
      <c r="H4" s="2" t="s">
        <v>16</v>
      </c>
      <c r="I4" s="8">
        <v>3.0901639344262203E-4</v>
      </c>
      <c r="J4" s="8" t="s">
        <v>99</v>
      </c>
      <c r="K4" s="8" t="s">
        <v>98</v>
      </c>
      <c r="L4" s="3" t="s">
        <v>107</v>
      </c>
      <c r="M4" s="2" t="s">
        <v>91</v>
      </c>
    </row>
    <row r="5" spans="1:13" x14ac:dyDescent="0.2">
      <c r="A5" s="3" t="s">
        <v>84</v>
      </c>
      <c r="B5" s="3" t="s">
        <v>32</v>
      </c>
      <c r="C5" s="3" t="s">
        <v>51</v>
      </c>
      <c r="D5" s="3" t="s">
        <v>88</v>
      </c>
      <c r="E5" s="12" t="s">
        <v>65</v>
      </c>
      <c r="F5" s="12" t="s">
        <v>65</v>
      </c>
      <c r="G5" s="3" t="s">
        <v>55</v>
      </c>
      <c r="H5" s="2" t="s">
        <v>63</v>
      </c>
      <c r="I5" s="4">
        <v>8.0000000000000004E-4</v>
      </c>
      <c r="J5" s="8" t="s">
        <v>99</v>
      </c>
      <c r="K5" s="8" t="s">
        <v>98</v>
      </c>
      <c r="L5" s="3" t="s">
        <v>119</v>
      </c>
      <c r="M5" s="5" t="s">
        <v>43</v>
      </c>
    </row>
    <row r="6" spans="1:13" x14ac:dyDescent="0.2">
      <c r="A6" s="3" t="s">
        <v>85</v>
      </c>
      <c r="B6" s="3" t="s">
        <v>33</v>
      </c>
      <c r="C6" s="3" t="s">
        <v>51</v>
      </c>
      <c r="D6" s="3" t="s">
        <v>88</v>
      </c>
      <c r="E6" s="12" t="s">
        <v>65</v>
      </c>
      <c r="F6" s="12" t="s">
        <v>65</v>
      </c>
      <c r="G6" s="3" t="s">
        <v>55</v>
      </c>
      <c r="H6" s="2" t="s">
        <v>62</v>
      </c>
      <c r="I6" s="6">
        <v>2.0000000000000001E-4</v>
      </c>
      <c r="J6" s="8" t="s">
        <v>99</v>
      </c>
      <c r="K6" s="8" t="s">
        <v>98</v>
      </c>
      <c r="L6" s="3" t="s">
        <v>120</v>
      </c>
      <c r="M6" s="7" t="s">
        <v>92</v>
      </c>
    </row>
    <row r="7" spans="1:13" x14ac:dyDescent="0.2">
      <c r="A7" s="3" t="s">
        <v>6</v>
      </c>
      <c r="B7" s="3" t="s">
        <v>6</v>
      </c>
      <c r="C7" s="3" t="s">
        <v>51</v>
      </c>
      <c r="D7" s="3" t="s">
        <v>88</v>
      </c>
      <c r="E7" s="3" t="s">
        <v>69</v>
      </c>
      <c r="F7" s="3" t="s">
        <v>90</v>
      </c>
      <c r="G7" s="3" t="s">
        <v>55</v>
      </c>
      <c r="H7" s="2" t="s">
        <v>7</v>
      </c>
      <c r="I7" s="8">
        <v>2.1999999999999998E-4</v>
      </c>
      <c r="J7" s="8" t="s">
        <v>99</v>
      </c>
      <c r="K7" s="8" t="s">
        <v>98</v>
      </c>
      <c r="L7" s="3" t="s">
        <v>118</v>
      </c>
      <c r="M7" s="2" t="s">
        <v>93</v>
      </c>
    </row>
    <row r="8" spans="1:13" x14ac:dyDescent="0.2">
      <c r="A8" s="3" t="s">
        <v>13</v>
      </c>
      <c r="B8" s="3" t="s">
        <v>13</v>
      </c>
      <c r="C8" s="3" t="s">
        <v>50</v>
      </c>
      <c r="D8" s="3" t="s">
        <v>50</v>
      </c>
      <c r="E8" s="12" t="s">
        <v>71</v>
      </c>
      <c r="F8" s="12" t="s">
        <v>65</v>
      </c>
      <c r="G8" s="3" t="s">
        <v>95</v>
      </c>
      <c r="H8" s="2" t="s">
        <v>14</v>
      </c>
      <c r="I8" s="8">
        <v>1.5E-3</v>
      </c>
      <c r="J8" s="8" t="s">
        <v>99</v>
      </c>
      <c r="K8" s="8" t="s">
        <v>98</v>
      </c>
      <c r="L8" s="3" t="s">
        <v>108</v>
      </c>
    </row>
    <row r="9" spans="1:13" x14ac:dyDescent="0.2">
      <c r="A9" s="3" t="s">
        <v>17</v>
      </c>
      <c r="B9" s="3" t="s">
        <v>17</v>
      </c>
      <c r="C9" s="3" t="s">
        <v>48</v>
      </c>
      <c r="D9" s="3" t="s">
        <v>48</v>
      </c>
      <c r="E9" s="12" t="s">
        <v>71</v>
      </c>
      <c r="F9" s="12" t="s">
        <v>65</v>
      </c>
      <c r="G9" s="3" t="s">
        <v>95</v>
      </c>
      <c r="H9" s="2" t="s">
        <v>18</v>
      </c>
      <c r="I9" s="8">
        <v>6.39141205615194E-4</v>
      </c>
      <c r="J9" s="8" t="s">
        <v>99</v>
      </c>
      <c r="K9" s="8" t="s">
        <v>98</v>
      </c>
      <c r="L9" s="3" t="s">
        <v>109</v>
      </c>
      <c r="M9" s="2" t="s">
        <v>103</v>
      </c>
    </row>
    <row r="10" spans="1:13" x14ac:dyDescent="0.2">
      <c r="A10" s="3" t="s">
        <v>81</v>
      </c>
      <c r="B10" s="3" t="s">
        <v>34</v>
      </c>
      <c r="C10" s="3" t="s">
        <v>48</v>
      </c>
      <c r="D10" s="3" t="s">
        <v>48</v>
      </c>
      <c r="E10" s="12" t="s">
        <v>71</v>
      </c>
      <c r="F10" s="12" t="s">
        <v>65</v>
      </c>
      <c r="G10" s="3" t="s">
        <v>55</v>
      </c>
      <c r="H10" s="2" t="s">
        <v>1</v>
      </c>
      <c r="I10" s="8">
        <v>2.1999999999999998E-4</v>
      </c>
      <c r="J10" s="8" t="s">
        <v>99</v>
      </c>
      <c r="K10" s="8" t="s">
        <v>98</v>
      </c>
      <c r="L10" s="3" t="s">
        <v>81</v>
      </c>
      <c r="M10" s="7" t="s">
        <v>42</v>
      </c>
    </row>
    <row r="11" spans="1:13" x14ac:dyDescent="0.2">
      <c r="A11" s="3" t="s">
        <v>26</v>
      </c>
      <c r="B11" s="3" t="s">
        <v>26</v>
      </c>
      <c r="C11" s="3" t="s">
        <v>53</v>
      </c>
      <c r="D11" s="3" t="s">
        <v>106</v>
      </c>
      <c r="E11" s="12" t="s">
        <v>65</v>
      </c>
      <c r="F11" s="12" t="s">
        <v>65</v>
      </c>
      <c r="G11" s="3" t="s">
        <v>95</v>
      </c>
      <c r="H11" s="2" t="s">
        <v>27</v>
      </c>
      <c r="I11" s="8">
        <v>2.0000000000000001E-4</v>
      </c>
      <c r="J11" s="8" t="s">
        <v>99</v>
      </c>
      <c r="K11" s="8" t="s">
        <v>101</v>
      </c>
      <c r="L11" s="3" t="s">
        <v>121</v>
      </c>
    </row>
    <row r="12" spans="1:13" x14ac:dyDescent="0.2">
      <c r="A12" s="3" t="s">
        <v>28</v>
      </c>
      <c r="B12" s="3" t="s">
        <v>28</v>
      </c>
      <c r="C12" s="3" t="s">
        <v>48</v>
      </c>
      <c r="D12" s="3" t="s">
        <v>48</v>
      </c>
      <c r="E12" s="12" t="s">
        <v>65</v>
      </c>
      <c r="F12" s="12" t="s">
        <v>65</v>
      </c>
      <c r="G12" s="3" t="s">
        <v>95</v>
      </c>
      <c r="H12" s="2" t="s">
        <v>29</v>
      </c>
      <c r="I12" s="8">
        <v>9.4987873888439695E-4</v>
      </c>
      <c r="J12" s="8" t="s">
        <v>99</v>
      </c>
      <c r="K12" s="8" t="s">
        <v>98</v>
      </c>
      <c r="L12" s="3" t="s">
        <v>116</v>
      </c>
      <c r="M12" s="14" t="s">
        <v>94</v>
      </c>
    </row>
    <row r="13" spans="1:13" x14ac:dyDescent="0.2">
      <c r="A13" s="3" t="s">
        <v>36</v>
      </c>
      <c r="B13" s="3" t="s">
        <v>36</v>
      </c>
      <c r="C13" s="3" t="s">
        <v>51</v>
      </c>
      <c r="D13" s="3" t="s">
        <v>88</v>
      </c>
      <c r="E13" s="12" t="s">
        <v>71</v>
      </c>
      <c r="F13" s="12" t="s">
        <v>65</v>
      </c>
      <c r="G13" s="3" t="s">
        <v>55</v>
      </c>
      <c r="H13" s="2" t="s">
        <v>61</v>
      </c>
      <c r="I13" s="6">
        <v>8.0000000000000004E-4</v>
      </c>
      <c r="J13" s="8" t="s">
        <v>99</v>
      </c>
      <c r="K13" s="8" t="s">
        <v>98</v>
      </c>
      <c r="L13" s="3" t="s">
        <v>36</v>
      </c>
    </row>
    <row r="14" spans="1:13" x14ac:dyDescent="0.2">
      <c r="A14" s="3" t="s">
        <v>8</v>
      </c>
      <c r="B14" s="3" t="s">
        <v>8</v>
      </c>
      <c r="C14" s="3" t="s">
        <v>48</v>
      </c>
      <c r="D14" s="3" t="s">
        <v>48</v>
      </c>
      <c r="E14" s="3" t="s">
        <v>70</v>
      </c>
      <c r="F14" s="3" t="s">
        <v>90</v>
      </c>
      <c r="G14" s="3" t="s">
        <v>55</v>
      </c>
      <c r="H14" s="2" t="s">
        <v>9</v>
      </c>
      <c r="I14" s="8">
        <v>1.9262295081967198E-4</v>
      </c>
      <c r="J14" s="8" t="s">
        <v>99</v>
      </c>
      <c r="K14" s="8" t="s">
        <v>98</v>
      </c>
      <c r="L14" s="3" t="s">
        <v>124</v>
      </c>
    </row>
    <row r="15" spans="1:13" x14ac:dyDescent="0.2">
      <c r="A15" s="11" t="s">
        <v>86</v>
      </c>
      <c r="B15" s="3" t="s">
        <v>38</v>
      </c>
      <c r="C15" s="3" t="s">
        <v>48</v>
      </c>
      <c r="D15" s="3" t="s">
        <v>48</v>
      </c>
      <c r="E15" s="3" t="s">
        <v>67</v>
      </c>
      <c r="F15" s="3" t="s">
        <v>90</v>
      </c>
      <c r="G15" s="3" t="s">
        <v>95</v>
      </c>
      <c r="H15" s="2" t="s">
        <v>23</v>
      </c>
      <c r="I15" s="8">
        <v>6.6169154228855711E-4</v>
      </c>
      <c r="J15" s="8" t="s">
        <v>105</v>
      </c>
      <c r="K15" s="8" t="s">
        <v>105</v>
      </c>
      <c r="L15" s="3" t="s">
        <v>122</v>
      </c>
    </row>
    <row r="16" spans="1:13" x14ac:dyDescent="0.2">
      <c r="A16" s="3" t="s">
        <v>4</v>
      </c>
      <c r="B16" s="3" t="s">
        <v>4</v>
      </c>
      <c r="C16" s="3" t="s">
        <v>48</v>
      </c>
      <c r="D16" s="3" t="s">
        <v>48</v>
      </c>
      <c r="E16" s="3" t="s">
        <v>72</v>
      </c>
      <c r="F16" s="3" t="s">
        <v>90</v>
      </c>
      <c r="G16" s="3" t="s">
        <v>55</v>
      </c>
      <c r="H16" s="2" t="s">
        <v>2</v>
      </c>
      <c r="I16" s="8">
        <v>2.0000000000000001E-4</v>
      </c>
      <c r="J16" s="8" t="s">
        <v>99</v>
      </c>
      <c r="K16" s="8" t="s">
        <v>98</v>
      </c>
      <c r="L16" s="3" t="s">
        <v>4</v>
      </c>
    </row>
    <row r="17" spans="1:13" x14ac:dyDescent="0.2">
      <c r="A17" s="3" t="s">
        <v>5</v>
      </c>
      <c r="B17" s="3" t="s">
        <v>5</v>
      </c>
      <c r="C17" s="3" t="s">
        <v>50</v>
      </c>
      <c r="D17" s="3" t="s">
        <v>50</v>
      </c>
      <c r="E17" s="3" t="s">
        <v>68</v>
      </c>
      <c r="F17" s="3" t="s">
        <v>90</v>
      </c>
      <c r="G17" s="3" t="s">
        <v>95</v>
      </c>
      <c r="H17" s="2" t="s">
        <v>3</v>
      </c>
      <c r="I17" s="8">
        <v>9.1967213114754103E-4</v>
      </c>
      <c r="J17" s="8" t="s">
        <v>99</v>
      </c>
      <c r="K17" s="8" t="s">
        <v>100</v>
      </c>
      <c r="L17" s="3" t="s">
        <v>5</v>
      </c>
    </row>
    <row r="18" spans="1:13" x14ac:dyDescent="0.2">
      <c r="A18" s="3" t="s">
        <v>78</v>
      </c>
      <c r="B18" s="3" t="s">
        <v>40</v>
      </c>
      <c r="C18" s="3" t="s">
        <v>48</v>
      </c>
      <c r="D18" s="3" t="s">
        <v>48</v>
      </c>
      <c r="E18" s="3" t="s">
        <v>68</v>
      </c>
      <c r="F18" s="3" t="s">
        <v>90</v>
      </c>
      <c r="G18" s="3" t="s">
        <v>95</v>
      </c>
      <c r="H18" s="2" t="s">
        <v>19</v>
      </c>
      <c r="I18" s="8">
        <v>3.55737704918032E-4</v>
      </c>
      <c r="J18" s="8" t="s">
        <v>98</v>
      </c>
      <c r="K18" s="8" t="s">
        <v>98</v>
      </c>
      <c r="L18" s="3" t="s">
        <v>117</v>
      </c>
    </row>
    <row r="19" spans="1:13" x14ac:dyDescent="0.2">
      <c r="A19" s="3" t="s">
        <v>79</v>
      </c>
      <c r="B19" s="3" t="s">
        <v>57</v>
      </c>
      <c r="C19" s="3" t="s">
        <v>48</v>
      </c>
      <c r="D19" s="3" t="s">
        <v>48</v>
      </c>
      <c r="E19" s="3" t="s">
        <v>67</v>
      </c>
      <c r="F19" s="3" t="s">
        <v>90</v>
      </c>
      <c r="G19" s="3" t="s">
        <v>55</v>
      </c>
      <c r="H19" s="2" t="s">
        <v>59</v>
      </c>
      <c r="I19" s="8">
        <v>1.6967213114754001E-4</v>
      </c>
      <c r="J19" s="8" t="s">
        <v>102</v>
      </c>
      <c r="K19" s="8" t="s">
        <v>102</v>
      </c>
      <c r="L19" s="3" t="s">
        <v>79</v>
      </c>
      <c r="M19" s="2" t="s">
        <v>58</v>
      </c>
    </row>
    <row r="20" spans="1:13" x14ac:dyDescent="0.2">
      <c r="A20" s="3" t="s">
        <v>10</v>
      </c>
      <c r="B20" s="3" t="s">
        <v>10</v>
      </c>
      <c r="C20" s="3" t="s">
        <v>48</v>
      </c>
      <c r="D20" s="3" t="s">
        <v>48</v>
      </c>
      <c r="E20" s="3" t="s">
        <v>66</v>
      </c>
      <c r="F20" s="3" t="s">
        <v>90</v>
      </c>
      <c r="G20" s="3" t="s">
        <v>95</v>
      </c>
      <c r="H20" s="2" t="s">
        <v>11</v>
      </c>
      <c r="I20" s="8">
        <v>7.8200000000000003E-4</v>
      </c>
      <c r="J20" s="8" t="s">
        <v>100</v>
      </c>
      <c r="K20" s="8" t="s">
        <v>100</v>
      </c>
      <c r="L20" s="3" t="s">
        <v>125</v>
      </c>
    </row>
    <row r="21" spans="1:13" x14ac:dyDescent="0.2">
      <c r="A21" s="3" t="s">
        <v>80</v>
      </c>
      <c r="B21" s="3" t="s">
        <v>45</v>
      </c>
      <c r="C21" s="3" t="s">
        <v>48</v>
      </c>
      <c r="D21" s="3" t="s">
        <v>48</v>
      </c>
      <c r="E21" s="3" t="s">
        <v>67</v>
      </c>
      <c r="F21" s="3" t="s">
        <v>90</v>
      </c>
      <c r="G21" s="3" t="s">
        <v>55</v>
      </c>
      <c r="H21" s="2" t="s">
        <v>12</v>
      </c>
      <c r="I21" s="8">
        <v>2.6065573770491803E-4</v>
      </c>
      <c r="J21" s="8" t="s">
        <v>100</v>
      </c>
      <c r="K21" s="8" t="s">
        <v>100</v>
      </c>
      <c r="L21" s="3" t="s">
        <v>110</v>
      </c>
    </row>
    <row r="22" spans="1:13" x14ac:dyDescent="0.2">
      <c r="A22" s="3" t="s">
        <v>20</v>
      </c>
      <c r="B22" s="3" t="s">
        <v>20</v>
      </c>
      <c r="C22" s="3" t="s">
        <v>48</v>
      </c>
      <c r="D22" s="3" t="s">
        <v>48</v>
      </c>
      <c r="E22" s="3" t="s">
        <v>67</v>
      </c>
      <c r="F22" s="3" t="s">
        <v>90</v>
      </c>
      <c r="G22" s="3" t="s">
        <v>55</v>
      </c>
      <c r="H22" s="2" t="s">
        <v>21</v>
      </c>
      <c r="I22" s="8">
        <v>2.6166666666666596E-4</v>
      </c>
      <c r="J22" s="8" t="s">
        <v>98</v>
      </c>
      <c r="K22" s="8" t="s">
        <v>98</v>
      </c>
      <c r="L22" s="3" t="s">
        <v>111</v>
      </c>
    </row>
    <row r="23" spans="1:13" x14ac:dyDescent="0.2">
      <c r="A23" s="3" t="s">
        <v>24</v>
      </c>
      <c r="B23" s="3" t="s">
        <v>24</v>
      </c>
      <c r="C23" s="3" t="s">
        <v>48</v>
      </c>
      <c r="D23" s="3" t="s">
        <v>48</v>
      </c>
      <c r="E23" s="12" t="s">
        <v>65</v>
      </c>
      <c r="F23" s="12" t="s">
        <v>65</v>
      </c>
      <c r="G23" s="3" t="s">
        <v>55</v>
      </c>
      <c r="H23" s="2" t="s">
        <v>25</v>
      </c>
      <c r="I23" s="8">
        <v>2.8688524590163902E-4</v>
      </c>
      <c r="J23" s="8" t="s">
        <v>99</v>
      </c>
      <c r="K23" s="8" t="s">
        <v>104</v>
      </c>
      <c r="L23" s="3" t="s">
        <v>112</v>
      </c>
    </row>
    <row r="24" spans="1:13" ht="13.5" customHeight="1" x14ac:dyDescent="0.2">
      <c r="A24" s="3" t="s">
        <v>82</v>
      </c>
      <c r="B24" s="3" t="s">
        <v>35</v>
      </c>
      <c r="C24" s="3" t="s">
        <v>49</v>
      </c>
      <c r="D24" s="3" t="s">
        <v>49</v>
      </c>
      <c r="E24" s="3" t="s">
        <v>66</v>
      </c>
      <c r="F24" s="3" t="s">
        <v>90</v>
      </c>
      <c r="G24" s="3" t="s">
        <v>55</v>
      </c>
      <c r="H24" s="2" t="s">
        <v>22</v>
      </c>
      <c r="I24" s="8">
        <v>6.9999999999999891E-4</v>
      </c>
      <c r="J24" s="8" t="s">
        <v>99</v>
      </c>
      <c r="K24" s="8" t="s">
        <v>98</v>
      </c>
      <c r="L24" s="3" t="s">
        <v>113</v>
      </c>
    </row>
    <row r="25" spans="1:13" x14ac:dyDescent="0.2">
      <c r="A25" s="3" t="s">
        <v>83</v>
      </c>
      <c r="B25" s="3" t="s">
        <v>41</v>
      </c>
      <c r="C25" s="3" t="s">
        <v>52</v>
      </c>
      <c r="D25" s="3" t="s">
        <v>52</v>
      </c>
      <c r="E25" s="3" t="s">
        <v>69</v>
      </c>
      <c r="F25" s="3" t="s">
        <v>90</v>
      </c>
      <c r="G25" s="3" t="s">
        <v>56</v>
      </c>
      <c r="H25" s="2" t="s">
        <v>30</v>
      </c>
      <c r="I25" s="8">
        <v>1.89380530973451E-4</v>
      </c>
      <c r="J25" s="8" t="s">
        <v>99</v>
      </c>
      <c r="K25" s="8" t="s">
        <v>98</v>
      </c>
      <c r="L25" s="3" t="s">
        <v>123</v>
      </c>
    </row>
    <row r="27" spans="1:13" x14ac:dyDescent="0.2">
      <c r="I27" s="8"/>
      <c r="J27" s="8"/>
      <c r="K27" s="8"/>
    </row>
    <row r="30" spans="1:13" x14ac:dyDescent="0.2">
      <c r="H30" s="9"/>
    </row>
    <row r="31" spans="1:13" x14ac:dyDescent="0.2">
      <c r="H31" s="10"/>
    </row>
    <row r="33" spans="8:8" x14ac:dyDescent="0.2">
      <c r="H33" s="9"/>
    </row>
    <row r="36" spans="8:8" x14ac:dyDescent="0.2">
      <c r="H36" s="8"/>
    </row>
  </sheetData>
  <autoFilter ref="A1:M1" xr:uid="{60DA4C04-C08C-42E7-81A2-6ED32579CCCF}">
    <sortState xmlns:xlrd2="http://schemas.microsoft.com/office/spreadsheetml/2017/richdata2" ref="A2:M25">
      <sortCondition descending="1" ref="F1"/>
    </sortState>
  </autoFilter>
  <conditionalFormatting sqref="E2:G5 C2:D25 I3:I4 H3:H5 G6:I6 E6:F15 I7:I8 G7:H15 I10 I11:L15 E16:H25 I19:L20 I24">
    <cfRule type="containsText" dxfId="4" priority="8" operator="containsText" text="TRUE">
      <formula>NOT(ISERROR(SEARCH("TRUE",C2)))</formula>
    </cfRule>
  </conditionalFormatting>
  <conditionalFormatting sqref="J17">
    <cfRule type="containsText" dxfId="3" priority="4" operator="containsText" text="TRUE">
      <formula>NOT(ISERROR(SEARCH("TRUE",J17)))</formula>
    </cfRule>
  </conditionalFormatting>
  <conditionalFormatting sqref="J16:L16">
    <cfRule type="containsText" dxfId="2" priority="5" operator="containsText" text="TRUE">
      <formula>NOT(ISERROR(SEARCH("TRUE",J16)))</formula>
    </cfRule>
  </conditionalFormatting>
  <conditionalFormatting sqref="J21:L21">
    <cfRule type="containsText" dxfId="1" priority="3" operator="containsText" text="TRUE">
      <formula>NOT(ISERROR(SEARCH("TRUE",J21)))</formula>
    </cfRule>
  </conditionalFormatting>
  <conditionalFormatting sqref="J24:L25">
    <cfRule type="containsText" dxfId="0" priority="1" operator="containsText" text="TRUE">
      <formula>NOT(ISERROR(SEARCH("TRUE",J24)))</formula>
    </cfRule>
  </conditionalFormatting>
  <hyperlinks>
    <hyperlink ref="M5" r:id="rId1" xr:uid="{A8CD6070-7DEA-42E0-B1E9-264105A521A4}"/>
    <hyperlink ref="M7" r:id="rId2" display="https://news.metal.com/newscontent/101559455/the-output-of-lithium-salt-in-qinghai-is-close-to-100000-tons-year-and-the-world-class-industrial-base-of-extracting-lithium-from-salt-lake-is-ready-to-be-developed" xr:uid="{E8A8A58C-2E8D-432F-9EB4-4E8E7497444B}"/>
    <hyperlink ref="M12" r:id="rId3" xr:uid="{3945ED2C-5F0D-4E4F-BAF7-9FA1395D0488}"/>
  </hyperlinks>
  <pageMargins left="0.7" right="0.7" top="0.75" bottom="0.75" header="0.3" footer="0.3"/>
  <pageSetup paperSize="9" orientation="portrait" r:id="rId4"/>
  <headerFooter>
    <oddFooter>&amp;L_x000D_&amp;1#&amp;"Calibri"&amp;10&amp;K000000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Istrate, I.R. (Robert)</dc:creator>
  <cp:lastModifiedBy>Istrate, I.R. (Robert)</cp:lastModifiedBy>
  <dcterms:created xsi:type="dcterms:W3CDTF">2015-06-05T18:19:34Z</dcterms:created>
  <dcterms:modified xsi:type="dcterms:W3CDTF">2026-05-06T12:20:18Z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2025-10-27T13:00:54Z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f6b9072d-68de-4645-af02-a1287f90c23d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