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leidenuniv1-my.sharepoint.com/personal/istrateir_vuw_leidenuniv_nl/Documents/Research/lithium-brine-prospective-LCA/scenario_data/reagents scenarios data/"/>
    </mc:Choice>
  </mc:AlternateContent>
  <xr:revisionPtr revIDLastSave="3353" documentId="11_AD4DB114E441178AC67DF4902691E15C683EDF20" xr6:coauthVersionLast="47" xr6:coauthVersionMax="47" xr10:uidLastSave="{8A02F0EE-BD04-450B-9AE4-E79AF4A7C4BA}"/>
  <bookViews>
    <workbookView minimized="1" xWindow="22755" yWindow="2475" windowWidth="13905" windowHeight="19665" xr2:uid="{00000000-000D-0000-FFFF-FFFF00000000}"/>
  </bookViews>
  <sheets>
    <sheet name="scenarios" sheetId="1" r:id="rId1"/>
    <sheet name="lcis" sheetId="2" r:id="rId2"/>
    <sheet name="Soda ash_USGS" sheetId="3" r:id="rId3"/>
    <sheet name="Trona soda ash fuel_US EPA" sheetId="4" r:id="rId4"/>
    <sheet name="Soda ash Water balance" sheetId="6" r:id="rId5"/>
    <sheet name="Refs" sheetId="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5" i="1" l="1"/>
  <c r="R37" i="1"/>
  <c r="T42" i="1"/>
  <c r="T41" i="1"/>
  <c r="T40" i="1"/>
  <c r="T39" i="1"/>
  <c r="B39" i="1"/>
  <c r="B40" i="1"/>
  <c r="C40" i="1"/>
  <c r="Z50" i="1"/>
  <c r="AA50" i="1"/>
  <c r="AB50" i="1"/>
  <c r="Z51" i="1"/>
  <c r="AA51" i="1"/>
  <c r="AB51" i="1"/>
  <c r="Z52" i="1"/>
  <c r="AA52" i="1"/>
  <c r="AB52" i="1"/>
  <c r="Y51" i="1"/>
  <c r="Y52" i="1"/>
  <c r="Y50" i="1"/>
  <c r="E68" i="1"/>
  <c r="E69" i="1"/>
  <c r="E67" i="1"/>
  <c r="F51" i="1"/>
  <c r="F52" i="1"/>
  <c r="F50" i="1"/>
  <c r="E51" i="1"/>
  <c r="E52" i="1"/>
  <c r="E50" i="1"/>
  <c r="E19" i="1" l="1"/>
  <c r="E20" i="1"/>
  <c r="E21" i="1"/>
  <c r="E22" i="1"/>
  <c r="E18" i="1"/>
  <c r="B38" i="1"/>
  <c r="C38" i="1"/>
  <c r="E38" i="1"/>
  <c r="E42" i="1" l="1"/>
  <c r="E41" i="1"/>
  <c r="E40" i="1"/>
  <c r="E39" i="1"/>
  <c r="C39" i="1"/>
  <c r="C41" i="1"/>
  <c r="C42" i="1"/>
  <c r="B42" i="1"/>
  <c r="B41" i="1"/>
  <c r="E35" i="1"/>
  <c r="B35" i="1"/>
  <c r="F35" i="1" l="1"/>
  <c r="H35" i="1"/>
  <c r="G35" i="1"/>
  <c r="Q50" i="1"/>
  <c r="Q52" i="1"/>
  <c r="Q51" i="1"/>
  <c r="C42" i="2"/>
  <c r="F41" i="1"/>
  <c r="F39" i="1"/>
  <c r="D41" i="1"/>
  <c r="D39" i="1"/>
  <c r="G41" i="1"/>
  <c r="L41" i="1" s="1"/>
  <c r="G39" i="1"/>
  <c r="L39" i="1" s="1"/>
  <c r="E37" i="1"/>
  <c r="B37" i="1"/>
  <c r="G37" i="1" s="1"/>
  <c r="L37" i="1" s="1"/>
  <c r="B32" i="1"/>
  <c r="G32" i="1" s="1"/>
  <c r="L32" i="1" s="1"/>
  <c r="C32" i="1"/>
  <c r="E32" i="1"/>
  <c r="D91" i="2"/>
  <c r="E91" i="2"/>
  <c r="D92" i="2"/>
  <c r="E92" i="2"/>
  <c r="D93" i="2"/>
  <c r="E93" i="2"/>
  <c r="D94" i="2"/>
  <c r="E94" i="2"/>
  <c r="D95" i="2"/>
  <c r="E95" i="2"/>
  <c r="C92" i="2"/>
  <c r="C93" i="2"/>
  <c r="C94" i="2"/>
  <c r="C95" i="2"/>
  <c r="C91" i="2"/>
  <c r="E86" i="2"/>
  <c r="E87" i="2"/>
  <c r="E88" i="2"/>
  <c r="E89" i="2"/>
  <c r="E90" i="2"/>
  <c r="D85" i="2"/>
  <c r="E85" i="2"/>
  <c r="D83" i="2"/>
  <c r="E83" i="2"/>
  <c r="D82" i="2"/>
  <c r="E82" i="2"/>
  <c r="E68" i="2"/>
  <c r="D68" i="2"/>
  <c r="H10" i="6"/>
  <c r="G10" i="6"/>
  <c r="F10" i="6"/>
  <c r="E66" i="2"/>
  <c r="D66" i="2"/>
  <c r="C66" i="2"/>
  <c r="D84" i="2"/>
  <c r="D78" i="2" s="1"/>
  <c r="C35" i="1" s="1"/>
  <c r="R50" i="1" s="1"/>
  <c r="E84" i="2"/>
  <c r="E80" i="2" s="1"/>
  <c r="D74" i="2"/>
  <c r="E74" i="2"/>
  <c r="D73" i="2"/>
  <c r="E73" i="2"/>
  <c r="E42" i="2"/>
  <c r="C41" i="2"/>
  <c r="H89" i="1"/>
  <c r="G90" i="1"/>
  <c r="G91" i="1"/>
  <c r="G89" i="1"/>
  <c r="I85" i="1" a="1"/>
  <c r="I85" i="1" s="1"/>
  <c r="I84" i="1" a="1"/>
  <c r="I84" i="1" s="1"/>
  <c r="J84" i="1"/>
  <c r="J85" i="1"/>
  <c r="J83" i="1"/>
  <c r="H84" i="1"/>
  <c r="H85" i="1"/>
  <c r="H83" i="1"/>
  <c r="H74" i="1"/>
  <c r="H73" i="1"/>
  <c r="E58" i="1"/>
  <c r="E57" i="1"/>
  <c r="H63" i="1"/>
  <c r="H64" i="1"/>
  <c r="H62" i="1"/>
  <c r="B56" i="1"/>
  <c r="H56" i="1" s="1"/>
  <c r="H46" i="1"/>
  <c r="H47" i="1"/>
  <c r="H45" i="1"/>
  <c r="H12" i="1"/>
  <c r="H13" i="1"/>
  <c r="H14" i="1"/>
  <c r="H15" i="1"/>
  <c r="H11" i="1"/>
  <c r="E30" i="2"/>
  <c r="E56" i="1" s="1"/>
  <c r="E31" i="1"/>
  <c r="E30" i="1"/>
  <c r="E43" i="2"/>
  <c r="D10" i="6"/>
  <c r="C10" i="6"/>
  <c r="B10" i="6"/>
  <c r="D9" i="6"/>
  <c r="C9" i="6"/>
  <c r="B9" i="6"/>
  <c r="D7" i="6"/>
  <c r="H7" i="6" s="1"/>
  <c r="C7" i="6"/>
  <c r="G7" i="6" s="1"/>
  <c r="B7" i="6"/>
  <c r="F7" i="6" s="1"/>
  <c r="E65" i="2"/>
  <c r="D65" i="2"/>
  <c r="C56" i="2"/>
  <c r="D64" i="2"/>
  <c r="E64" i="2"/>
  <c r="C64" i="2"/>
  <c r="D32" i="1" l="1"/>
  <c r="I35" i="1" a="1"/>
  <c r="I35" i="1" s="1"/>
  <c r="R52" i="1"/>
  <c r="D35" i="1"/>
  <c r="R51" i="1"/>
  <c r="J35" i="1" a="1"/>
  <c r="J35" i="1" s="1"/>
  <c r="U52" i="1"/>
  <c r="U50" i="1"/>
  <c r="U51" i="1"/>
  <c r="J41" i="1" a="1"/>
  <c r="J41" i="1" s="1"/>
  <c r="O41" i="1" s="1"/>
  <c r="I41" i="1" a="1"/>
  <c r="I41" i="1" s="1"/>
  <c r="N41" i="1" s="1"/>
  <c r="H41" i="1"/>
  <c r="M41" i="1" s="1"/>
  <c r="F32" i="1"/>
  <c r="J39" i="1" a="1"/>
  <c r="J39" i="1" s="1"/>
  <c r="O39" i="1" s="1"/>
  <c r="I39" i="1" a="1"/>
  <c r="I39" i="1" s="1"/>
  <c r="N39" i="1" s="1"/>
  <c r="H39" i="1"/>
  <c r="M39" i="1" s="1"/>
  <c r="F37" i="1"/>
  <c r="H37" i="1"/>
  <c r="M37" i="1" s="1"/>
  <c r="J32" i="1" a="1"/>
  <c r="J32" i="1" s="1"/>
  <c r="O32" i="1" s="1"/>
  <c r="H32" i="1"/>
  <c r="M32" i="1" s="1"/>
  <c r="I32" i="1" a="1"/>
  <c r="I32" i="1" s="1"/>
  <c r="N32" i="1" s="1"/>
  <c r="D67" i="2"/>
  <c r="E78" i="2"/>
  <c r="E67" i="2"/>
  <c r="D80" i="2"/>
  <c r="C37" i="1" s="1"/>
  <c r="D37" i="1" s="1"/>
  <c r="B57" i="1"/>
  <c r="G57" i="1" s="1"/>
  <c r="L57" i="1" s="1"/>
  <c r="E44" i="2"/>
  <c r="E59" i="1" s="1"/>
  <c r="B67" i="1"/>
  <c r="B69" i="1"/>
  <c r="B68" i="1"/>
  <c r="H68" i="1" s="1"/>
  <c r="F56" i="1"/>
  <c r="G56" i="1"/>
  <c r="C43" i="2"/>
  <c r="B16" i="6"/>
  <c r="C65" i="2"/>
  <c r="C18" i="6"/>
  <c r="C17" i="6"/>
  <c r="B15" i="6"/>
  <c r="D63" i="2"/>
  <c r="D90" i="2" s="1"/>
  <c r="D62" i="2"/>
  <c r="D89" i="2" s="1"/>
  <c r="D61" i="2"/>
  <c r="D88" i="2" s="1"/>
  <c r="D60" i="2"/>
  <c r="D87" i="2" s="1"/>
  <c r="D59" i="2"/>
  <c r="D86" i="2" s="1"/>
  <c r="E54" i="2"/>
  <c r="E53" i="2"/>
  <c r="E52" i="2"/>
  <c r="E51" i="2"/>
  <c r="E75" i="2" s="1"/>
  <c r="D51" i="2"/>
  <c r="D75" i="2" s="1"/>
  <c r="C50" i="2"/>
  <c r="C74" i="2" s="1"/>
  <c r="C55" i="2"/>
  <c r="C49" i="2"/>
  <c r="C73" i="2" s="1"/>
  <c r="C39" i="2"/>
  <c r="C35" i="2"/>
  <c r="C34" i="2"/>
  <c r="C33" i="2"/>
  <c r="E5" i="1"/>
  <c r="E6" i="1"/>
  <c r="C25" i="2"/>
  <c r="D25" i="2"/>
  <c r="C19" i="2"/>
  <c r="E19" i="2"/>
  <c r="C4" i="2"/>
  <c r="C10" i="2" s="1"/>
  <c r="E4" i="2"/>
  <c r="E10" i="2" s="1"/>
  <c r="D4" i="2"/>
  <c r="D10" i="2" s="1"/>
  <c r="D24" i="2" s="1"/>
  <c r="E18" i="2"/>
  <c r="E17" i="2"/>
  <c r="I8" i="4"/>
  <c r="J64" i="1" a="1"/>
  <c r="J64" i="1" s="1"/>
  <c r="I64" i="1" a="1"/>
  <c r="I64" i="1" s="1"/>
  <c r="G64" i="1"/>
  <c r="J63" i="1" a="1"/>
  <c r="J63" i="1" s="1"/>
  <c r="I63" i="1" a="1"/>
  <c r="I63" i="1" s="1"/>
  <c r="G63" i="1"/>
  <c r="J62" i="1" a="1"/>
  <c r="J62" i="1" s="1"/>
  <c r="I62" i="1" a="1"/>
  <c r="I62" i="1" s="1"/>
  <c r="G62" i="1"/>
  <c r="C32" i="2"/>
  <c r="I6" i="4"/>
  <c r="I7" i="4"/>
  <c r="I5" i="4"/>
  <c r="H8" i="4"/>
  <c r="H7" i="4"/>
  <c r="H6" i="4"/>
  <c r="H5" i="4"/>
  <c r="B7" i="4"/>
  <c r="E7" i="4" s="1"/>
  <c r="B6" i="4"/>
  <c r="B5" i="4"/>
  <c r="E5" i="4" s="1"/>
  <c r="B8" i="4"/>
  <c r="E8" i="4" s="1"/>
  <c r="E9" i="4"/>
  <c r="E6" i="4"/>
  <c r="C38" i="2"/>
  <c r="C37" i="2"/>
  <c r="C36" i="2"/>
  <c r="C31" i="2"/>
  <c r="C29" i="2"/>
  <c r="D19" i="2"/>
  <c r="D17" i="2"/>
  <c r="D6" i="2"/>
  <c r="C6" i="1" s="1"/>
  <c r="C6" i="2"/>
  <c r="B6" i="1" s="1"/>
  <c r="C5" i="1"/>
  <c r="C30" i="1"/>
  <c r="C31" i="1"/>
  <c r="D54" i="2"/>
  <c r="D53" i="2"/>
  <c r="D52" i="2"/>
  <c r="C83" i="2"/>
  <c r="C72" i="2"/>
  <c r="C71" i="2"/>
  <c r="C63" i="2"/>
  <c r="C90" i="2" s="1"/>
  <c r="C60" i="2"/>
  <c r="C87" i="2" s="1"/>
  <c r="C59" i="2"/>
  <c r="C86" i="2" s="1"/>
  <c r="J74" i="1"/>
  <c r="J78" i="1" s="1"/>
  <c r="I74" i="1"/>
  <c r="I78" i="1" s="1"/>
  <c r="H78" i="1"/>
  <c r="G74" i="1"/>
  <c r="G78" i="1" s="1"/>
  <c r="J73" i="1"/>
  <c r="J77" i="1" s="1"/>
  <c r="I73" i="1"/>
  <c r="I77" i="1" s="1"/>
  <c r="H77" i="1"/>
  <c r="G73" i="1"/>
  <c r="G77" i="1" s="1"/>
  <c r="C81" i="2"/>
  <c r="I37" i="1" l="1" a="1"/>
  <c r="I37" i="1" s="1"/>
  <c r="N37" i="1" s="1"/>
  <c r="J37" i="1" a="1"/>
  <c r="J37" i="1" s="1"/>
  <c r="O37" i="1" s="1"/>
  <c r="F57" i="1"/>
  <c r="H57" i="1"/>
  <c r="M57" i="1" s="1"/>
  <c r="C68" i="2"/>
  <c r="C67" i="2" s="1"/>
  <c r="E36" i="1"/>
  <c r="E79" i="2"/>
  <c r="C36" i="1"/>
  <c r="D79" i="2"/>
  <c r="C34" i="1"/>
  <c r="C51" i="1" s="1"/>
  <c r="D77" i="2"/>
  <c r="C82" i="2"/>
  <c r="E34" i="1"/>
  <c r="E77" i="2"/>
  <c r="E33" i="1"/>
  <c r="E76" i="2"/>
  <c r="C33" i="1"/>
  <c r="D76" i="2"/>
  <c r="G69" i="1"/>
  <c r="L69" i="1" s="1"/>
  <c r="H69" i="1"/>
  <c r="H6" i="1"/>
  <c r="G6" i="1"/>
  <c r="L6" i="1" s="1"/>
  <c r="G67" i="1"/>
  <c r="H67" i="1"/>
  <c r="D41" i="2"/>
  <c r="C57" i="1" s="1"/>
  <c r="B19" i="6"/>
  <c r="B23" i="6" s="1"/>
  <c r="E8" i="1"/>
  <c r="E24" i="2"/>
  <c r="B8" i="1"/>
  <c r="C24" i="2"/>
  <c r="C20" i="6"/>
  <c r="F6" i="1"/>
  <c r="E4" i="1"/>
  <c r="C4" i="1"/>
  <c r="E16" i="2"/>
  <c r="G68" i="1"/>
  <c r="E10" i="4"/>
  <c r="D6" i="1"/>
  <c r="D18" i="2"/>
  <c r="D16" i="2"/>
  <c r="C8" i="1"/>
  <c r="J6" i="1" a="1"/>
  <c r="J6" i="1" s="1"/>
  <c r="I6" i="1" a="1"/>
  <c r="I6" i="1" s="1"/>
  <c r="C50" i="1"/>
  <c r="C52" i="1"/>
  <c r="C53" i="2"/>
  <c r="C77" i="2" s="1"/>
  <c r="C52" i="2"/>
  <c r="C76" i="2" s="1"/>
  <c r="B4" i="1"/>
  <c r="C62" i="2"/>
  <c r="C89" i="2" s="1"/>
  <c r="C61" i="2"/>
  <c r="C88" i="2" s="1"/>
  <c r="C58" i="2"/>
  <c r="C54" i="2"/>
  <c r="C51" i="2"/>
  <c r="C75" i="2" s="1"/>
  <c r="M69" i="1" l="1"/>
  <c r="D30" i="2"/>
  <c r="C56" i="1" s="1"/>
  <c r="J38" i="1" a="1"/>
  <c r="J38" i="1" s="1"/>
  <c r="F38" i="1"/>
  <c r="D38" i="1"/>
  <c r="G38" i="1"/>
  <c r="L38" i="1" s="1"/>
  <c r="H38" i="1"/>
  <c r="I38" i="1" a="1"/>
  <c r="I38" i="1" s="1"/>
  <c r="N38" i="1" s="1"/>
  <c r="D57" i="1"/>
  <c r="J57" i="1" a="1"/>
  <c r="J57" i="1" s="1"/>
  <c r="O57" i="1" s="1"/>
  <c r="I57" i="1" a="1"/>
  <c r="I57" i="1" s="1"/>
  <c r="N57" i="1" s="1"/>
  <c r="H8" i="1"/>
  <c r="G8" i="1"/>
  <c r="L8" i="1" s="1"/>
  <c r="H4" i="1"/>
  <c r="G4" i="1"/>
  <c r="L4" i="1" s="1"/>
  <c r="I8" i="1" a="1"/>
  <c r="I8" i="1" s="1"/>
  <c r="D42" i="2"/>
  <c r="C58" i="1" s="1"/>
  <c r="D43" i="2"/>
  <c r="F8" i="1"/>
  <c r="B24" i="6"/>
  <c r="C21" i="6"/>
  <c r="B25" i="6" s="1"/>
  <c r="O6" i="1"/>
  <c r="M6" i="1"/>
  <c r="F4" i="1"/>
  <c r="M68" i="1"/>
  <c r="J4" i="1" a="1"/>
  <c r="J4" i="1" s="1"/>
  <c r="N6" i="1"/>
  <c r="I4" i="1" a="1"/>
  <c r="I4" i="1" s="1"/>
  <c r="D8" i="1"/>
  <c r="J8" i="1" a="1"/>
  <c r="J8" i="1" s="1"/>
  <c r="D4" i="1"/>
  <c r="B34" i="1"/>
  <c r="H34" i="1" s="1"/>
  <c r="C79" i="2"/>
  <c r="B36" i="1"/>
  <c r="B30" i="1"/>
  <c r="B33" i="1"/>
  <c r="B31" i="1"/>
  <c r="C85" i="2"/>
  <c r="C84" i="2"/>
  <c r="I45" i="1" a="1"/>
  <c r="I45" i="1" s="1"/>
  <c r="V50" i="1" s="1"/>
  <c r="J45" i="1" a="1"/>
  <c r="J45" i="1" s="1"/>
  <c r="W50" i="1" s="1"/>
  <c r="I46" i="1" a="1"/>
  <c r="I46" i="1" s="1"/>
  <c r="V51" i="1" s="1"/>
  <c r="J46" i="1" a="1"/>
  <c r="J46" i="1" s="1"/>
  <c r="W51" i="1" s="1"/>
  <c r="I47" i="1" a="1"/>
  <c r="I47" i="1" s="1"/>
  <c r="V52" i="1" s="1"/>
  <c r="J47" i="1" a="1"/>
  <c r="J47" i="1" s="1"/>
  <c r="W52" i="1" s="1"/>
  <c r="J79" i="1"/>
  <c r="I79" i="1"/>
  <c r="H79" i="1"/>
  <c r="G79" i="1"/>
  <c r="E22" i="3"/>
  <c r="F22" i="3" s="1"/>
  <c r="E23" i="3"/>
  <c r="F23" i="3" s="1"/>
  <c r="F20" i="3"/>
  <c r="F21" i="3"/>
  <c r="F19" i="3"/>
  <c r="E20" i="3"/>
  <c r="E21" i="3"/>
  <c r="E19" i="3"/>
  <c r="E3" i="3"/>
  <c r="F3" i="3"/>
  <c r="E4" i="3"/>
  <c r="F4" i="3"/>
  <c r="E5" i="3"/>
  <c r="F5" i="3"/>
  <c r="E6" i="3"/>
  <c r="F6" i="3"/>
  <c r="E7" i="3"/>
  <c r="F7" i="3"/>
  <c r="E8" i="3"/>
  <c r="F8" i="3"/>
  <c r="E9" i="3"/>
  <c r="F9" i="3"/>
  <c r="E10" i="3"/>
  <c r="F10" i="3"/>
  <c r="E11" i="3"/>
  <c r="F11" i="3"/>
  <c r="E12" i="3"/>
  <c r="F12" i="3"/>
  <c r="E13" i="3"/>
  <c r="F13" i="3"/>
  <c r="E14" i="3"/>
  <c r="F14" i="3"/>
  <c r="E15" i="3"/>
  <c r="F15" i="3"/>
  <c r="E17" i="3"/>
  <c r="F17" i="3"/>
  <c r="F16" i="3"/>
  <c r="E16" i="3"/>
  <c r="J25" i="1"/>
  <c r="J26" i="1"/>
  <c r="I26" i="1"/>
  <c r="I25" i="1"/>
  <c r="M38" i="1" l="1"/>
  <c r="M8" i="1"/>
  <c r="O38" i="1"/>
  <c r="O8" i="1"/>
  <c r="N8" i="1"/>
  <c r="C67" i="1"/>
  <c r="J56" i="1" a="1"/>
  <c r="J56" i="1" s="1"/>
  <c r="D56" i="1"/>
  <c r="I56" i="1" a="1"/>
  <c r="I56" i="1" s="1"/>
  <c r="C69" i="1"/>
  <c r="C68" i="1"/>
  <c r="F31" i="1"/>
  <c r="H31" i="1"/>
  <c r="F33" i="1"/>
  <c r="H33" i="1"/>
  <c r="F30" i="1"/>
  <c r="H30" i="1"/>
  <c r="F36" i="1"/>
  <c r="H36" i="1"/>
  <c r="B52" i="1"/>
  <c r="H52" i="1" s="1"/>
  <c r="F34" i="1"/>
  <c r="D44" i="2"/>
  <c r="C59" i="1" s="1"/>
  <c r="O4" i="1"/>
  <c r="M4" i="1"/>
  <c r="N4" i="1"/>
  <c r="G30" i="1"/>
  <c r="L30" i="1" s="1"/>
  <c r="J30" i="1" a="1"/>
  <c r="J30" i="1" s="1"/>
  <c r="I30" i="1" a="1"/>
  <c r="I30" i="1" s="1"/>
  <c r="D30" i="1"/>
  <c r="I33" i="1" a="1"/>
  <c r="I33" i="1" s="1"/>
  <c r="D33" i="1"/>
  <c r="G33" i="1"/>
  <c r="L33" i="1" s="1"/>
  <c r="J33" i="1" a="1"/>
  <c r="J33" i="1" s="1"/>
  <c r="I36" i="1" a="1"/>
  <c r="I36" i="1" s="1"/>
  <c r="D36" i="1"/>
  <c r="G36" i="1"/>
  <c r="L36" i="1" s="1"/>
  <c r="J36" i="1" a="1"/>
  <c r="J36" i="1" s="1"/>
  <c r="G31" i="1"/>
  <c r="L31" i="1" s="1"/>
  <c r="D31" i="1"/>
  <c r="J31" i="1" a="1"/>
  <c r="J31" i="1" s="1"/>
  <c r="I31" i="1" a="1"/>
  <c r="I31" i="1" s="1"/>
  <c r="J34" i="1" a="1"/>
  <c r="J34" i="1" s="1"/>
  <c r="B50" i="1"/>
  <c r="H50" i="1" s="1"/>
  <c r="B51" i="1"/>
  <c r="H51" i="1" s="1"/>
  <c r="G34" i="1"/>
  <c r="L67" i="1" s="1"/>
  <c r="I34" i="1" a="1"/>
  <c r="I34" i="1" s="1"/>
  <c r="D34" i="1"/>
  <c r="C80" i="2"/>
  <c r="C78" i="2"/>
  <c r="H26" i="1"/>
  <c r="H25" i="1"/>
  <c r="G26" i="1"/>
  <c r="G25" i="1"/>
  <c r="C20" i="2"/>
  <c r="E7" i="1" s="1"/>
  <c r="C23" i="2"/>
  <c r="C22" i="2"/>
  <c r="C18" i="2"/>
  <c r="J68" i="1" l="1" a="1"/>
  <c r="J68" i="1" s="1"/>
  <c r="O68" i="1" s="1"/>
  <c r="I68" i="1" a="1"/>
  <c r="I68" i="1" s="1"/>
  <c r="N68" i="1" s="1"/>
  <c r="I69" i="1" a="1"/>
  <c r="I69" i="1" s="1"/>
  <c r="N69" i="1" s="1"/>
  <c r="J69" i="1" a="1"/>
  <c r="J69" i="1" s="1"/>
  <c r="O69" i="1" s="1"/>
  <c r="J67" i="1" a="1"/>
  <c r="J67" i="1" s="1"/>
  <c r="O67" i="1" s="1"/>
  <c r="I67" i="1" a="1"/>
  <c r="I67" i="1" s="1"/>
  <c r="N67" i="1" s="1"/>
  <c r="D20" i="2"/>
  <c r="L68" i="1"/>
  <c r="M67" i="1"/>
  <c r="N33" i="1"/>
  <c r="B7" i="1"/>
  <c r="M30" i="1"/>
  <c r="N30" i="1"/>
  <c r="O30" i="1"/>
  <c r="O36" i="1"/>
  <c r="N31" i="1"/>
  <c r="N36" i="1"/>
  <c r="O31" i="1"/>
  <c r="M36" i="1"/>
  <c r="O33" i="1"/>
  <c r="G51" i="1"/>
  <c r="L51" i="1" s="1"/>
  <c r="I51" i="1" a="1"/>
  <c r="I51" i="1" s="1"/>
  <c r="J51" i="1" a="1"/>
  <c r="J51" i="1" s="1"/>
  <c r="I50" i="1" a="1"/>
  <c r="I50" i="1" s="1"/>
  <c r="J50" i="1" a="1"/>
  <c r="J50" i="1" s="1"/>
  <c r="J52" i="1" a="1"/>
  <c r="J52" i="1" s="1"/>
  <c r="G52" i="1"/>
  <c r="L52" i="1" s="1"/>
  <c r="I52" i="1" a="1"/>
  <c r="I52" i="1" s="1"/>
  <c r="N52" i="1" s="1"/>
  <c r="M31" i="1"/>
  <c r="M33" i="1"/>
  <c r="C16" i="2"/>
  <c r="C5" i="2"/>
  <c r="C17" i="2" s="1"/>
  <c r="G47" i="1"/>
  <c r="T52" i="1" s="1"/>
  <c r="G46" i="1"/>
  <c r="T51" i="1" s="1"/>
  <c r="G45" i="1"/>
  <c r="G50" i="1" l="1"/>
  <c r="N50" i="1" s="1"/>
  <c r="T50" i="1"/>
  <c r="F7" i="1"/>
  <c r="H7" i="1"/>
  <c r="G7" i="1"/>
  <c r="L7" i="1" s="1"/>
  <c r="C7" i="1"/>
  <c r="I7" i="1" s="1" a="1"/>
  <c r="I7" i="1" s="1"/>
  <c r="E20" i="2"/>
  <c r="M52" i="1"/>
  <c r="O52" i="1"/>
  <c r="M51" i="1"/>
  <c r="O51" i="1"/>
  <c r="N51" i="1"/>
  <c r="B5" i="1"/>
  <c r="H90" i="1"/>
  <c r="H91" i="1"/>
  <c r="L50" i="1" l="1"/>
  <c r="O50" i="1"/>
  <c r="M50" i="1"/>
  <c r="F5" i="1"/>
  <c r="H5" i="1"/>
  <c r="G5" i="1"/>
  <c r="N7" i="1"/>
  <c r="D7" i="1"/>
  <c r="J7" i="1" a="1"/>
  <c r="J7" i="1" s="1"/>
  <c r="O7" i="1" s="1"/>
  <c r="M7" i="1"/>
  <c r="B19" i="1"/>
  <c r="H19" i="1" s="1"/>
  <c r="B21" i="1"/>
  <c r="H21" i="1" s="1"/>
  <c r="B18" i="1"/>
  <c r="H18" i="1" s="1"/>
  <c r="D5" i="1"/>
  <c r="J5" i="1" a="1"/>
  <c r="J5" i="1" s="1"/>
  <c r="B20" i="1"/>
  <c r="H20" i="1" s="1"/>
  <c r="I5" i="1" a="1"/>
  <c r="I5" i="1" s="1"/>
  <c r="B22" i="1"/>
  <c r="H22" i="1" s="1"/>
  <c r="I12" i="1" a="1"/>
  <c r="I12" i="1" s="1"/>
  <c r="J12" i="1" a="1"/>
  <c r="J12" i="1" s="1"/>
  <c r="I13" i="1" a="1"/>
  <c r="I13" i="1" s="1"/>
  <c r="J13" i="1" a="1"/>
  <c r="J13" i="1" s="1"/>
  <c r="I14" i="1" a="1"/>
  <c r="I14" i="1" s="1"/>
  <c r="J14" i="1" a="1"/>
  <c r="J14" i="1" s="1"/>
  <c r="I15" i="1" a="1"/>
  <c r="I15" i="1" s="1"/>
  <c r="J15" i="1" a="1"/>
  <c r="J15" i="1" s="1"/>
  <c r="J11" i="1" a="1"/>
  <c r="J11" i="1" s="1"/>
  <c r="I11" i="1" a="1"/>
  <c r="I11" i="1" s="1"/>
  <c r="G12" i="1"/>
  <c r="G13" i="1"/>
  <c r="G14" i="1"/>
  <c r="G15" i="1"/>
  <c r="G11" i="1"/>
  <c r="C18" i="1" l="1"/>
  <c r="I18" i="1" s="1" a="1"/>
  <c r="I18" i="1" s="1"/>
  <c r="C21" i="1"/>
  <c r="C22" i="1"/>
  <c r="C20" i="1"/>
  <c r="C19" i="1"/>
  <c r="I22" i="1" a="1"/>
  <c r="I22" i="1" s="1"/>
  <c r="G22" i="1"/>
  <c r="L22" i="1" s="1"/>
  <c r="J22" i="1" a="1"/>
  <c r="J22" i="1" s="1"/>
  <c r="G21" i="1"/>
  <c r="L21" i="1" s="1"/>
  <c r="I21" i="1" a="1"/>
  <c r="I21" i="1" s="1"/>
  <c r="G20" i="1"/>
  <c r="L20" i="1" s="1"/>
  <c r="G18" i="1"/>
  <c r="L18" i="1" s="1"/>
  <c r="G19" i="1"/>
  <c r="L19" i="1" s="1"/>
  <c r="C89" i="1"/>
  <c r="J89" i="1" s="1"/>
  <c r="C90" i="1"/>
  <c r="I90" i="1" s="1" a="1"/>
  <c r="I90" i="1" s="1"/>
  <c r="C91" i="1"/>
  <c r="I91" i="1" s="1" a="1"/>
  <c r="I91" i="1" s="1"/>
  <c r="G84" i="1"/>
  <c r="G85" i="1"/>
  <c r="G83" i="1"/>
  <c r="J18" i="1" l="1" a="1"/>
  <c r="J18" i="1" s="1"/>
  <c r="O18" i="1" s="1"/>
  <c r="J19" i="1" a="1"/>
  <c r="J19" i="1" s="1"/>
  <c r="O19" i="1" s="1"/>
  <c r="I19" i="1" a="1"/>
  <c r="I19" i="1" s="1"/>
  <c r="N19" i="1" s="1"/>
  <c r="J21" i="1" a="1"/>
  <c r="J21" i="1" s="1"/>
  <c r="O21" i="1" s="1"/>
  <c r="J20" i="1" a="1"/>
  <c r="J20" i="1" s="1"/>
  <c r="O20" i="1" s="1"/>
  <c r="I20" i="1" a="1"/>
  <c r="I20" i="1" s="1"/>
  <c r="N20" i="1" s="1"/>
  <c r="M18" i="1"/>
  <c r="M20" i="1"/>
  <c r="N21" i="1"/>
  <c r="O22" i="1"/>
  <c r="N22" i="1"/>
  <c r="M19" i="1"/>
  <c r="M22" i="1"/>
  <c r="N18" i="1"/>
  <c r="M21" i="1"/>
  <c r="I83" i="1"/>
  <c r="J90" i="1"/>
  <c r="J91" i="1"/>
  <c r="I89" i="1" l="1"/>
  <c r="B59" i="1"/>
  <c r="G59" i="1" s="1"/>
  <c r="L59" i="1" s="1"/>
  <c r="F59" i="1"/>
  <c r="B58" i="1"/>
  <c r="J58" i="1" s="1" a="1"/>
  <c r="J58" i="1" s="1"/>
  <c r="J40" i="1" a="1"/>
  <c r="J40" i="1" s="1"/>
  <c r="C44" i="2"/>
  <c r="H42" i="1"/>
  <c r="D42" i="1"/>
  <c r="I59" i="1" l="1" a="1"/>
  <c r="I59" i="1" s="1"/>
  <c r="J42" i="1" a="1"/>
  <c r="J42" i="1" s="1"/>
  <c r="J59" i="1" a="1"/>
  <c r="J59" i="1" s="1"/>
  <c r="I42" i="1" a="1"/>
  <c r="I42" i="1" s="1"/>
  <c r="D59" i="1"/>
  <c r="H59" i="1"/>
  <c r="O59" i="1"/>
  <c r="N59" i="1"/>
  <c r="M59" i="1"/>
  <c r="F42" i="1"/>
  <c r="G40" i="1"/>
  <c r="L40" i="1" s="1"/>
  <c r="G58" i="1"/>
  <c r="L58" i="1" s="1"/>
  <c r="H58" i="1"/>
  <c r="D40" i="1"/>
  <c r="I40" i="1" a="1"/>
  <c r="I40" i="1" s="1"/>
  <c r="H40" i="1"/>
  <c r="F58" i="1"/>
  <c r="I58" i="1" a="1"/>
  <c r="I58" i="1" s="1"/>
  <c r="G42" i="1"/>
  <c r="L42" i="1" s="1"/>
  <c r="F40" i="1"/>
  <c r="D58" i="1"/>
  <c r="N40" i="1" l="1"/>
  <c r="M40" i="1"/>
  <c r="O42" i="1"/>
  <c r="M58" i="1"/>
  <c r="O58" i="1"/>
  <c r="O40" i="1"/>
  <c r="N42" i="1"/>
  <c r="N58" i="1"/>
  <c r="M4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<sst xmlns="http://schemas.openxmlformats.org/spreadsheetml/2006/main" count="574" uniqueCount="224">
  <si>
    <t>Sodium hydroxide</t>
  </si>
  <si>
    <t>Production technology mix</t>
  </si>
  <si>
    <t>Membrane cell</t>
  </si>
  <si>
    <t>Mercury cell</t>
  </si>
  <si>
    <t>Diaphragm technology</t>
  </si>
  <si>
    <t>Apply linear regression</t>
  </si>
  <si>
    <t>Hydrochloric acid</t>
  </si>
  <si>
    <t>Precursor chlorine production technology mix</t>
  </si>
  <si>
    <t>Natural gas</t>
  </si>
  <si>
    <t>Waste</t>
  </si>
  <si>
    <t>Oil</t>
  </si>
  <si>
    <t>Biomass</t>
  </si>
  <si>
    <t>Coal</t>
  </si>
  <si>
    <t>Parameter</t>
  </si>
  <si>
    <t>Source</t>
  </si>
  <si>
    <t>Comment</t>
  </si>
  <si>
    <t>MJ/kg quicklime</t>
  </si>
  <si>
    <t>Unit</t>
  </si>
  <si>
    <t>BREF (2013)</t>
  </si>
  <si>
    <t>Limestone</t>
  </si>
  <si>
    <t>kg/kg quicklime</t>
  </si>
  <si>
    <t>CO2 emissions</t>
  </si>
  <si>
    <t>CO2, captured</t>
  </si>
  <si>
    <t>Factory</t>
  </si>
  <si>
    <t>unit/kg quicklime</t>
  </si>
  <si>
    <t>Foteinis et al. (2022)</t>
  </si>
  <si>
    <t>Machinery</t>
  </si>
  <si>
    <t>Electricity, air separation</t>
  </si>
  <si>
    <t>kWh/kg quicklime</t>
  </si>
  <si>
    <t>Electricity, CO2 purification</t>
  </si>
  <si>
    <t>CCS adoption [%]</t>
  </si>
  <si>
    <t>Without CCS</t>
  </si>
  <si>
    <t>With CCS</t>
  </si>
  <si>
    <t>Supply mix [% market]</t>
  </si>
  <si>
    <t>kt/year</t>
  </si>
  <si>
    <t>https://www.usgs.gov/centers/national-minerals-information-center/soda-ash-statistics-and-information</t>
  </si>
  <si>
    <t>Natural soda ash share</t>
  </si>
  <si>
    <t>Synthetic soda ash share</t>
  </si>
  <si>
    <t>Natural soda ash volume</t>
  </si>
  <si>
    <t>Synthetic soda ash volume</t>
  </si>
  <si>
    <t>see:</t>
  </si>
  <si>
    <t>Soda ash_USGS</t>
  </si>
  <si>
    <t>kg/kg soda ash</t>
  </si>
  <si>
    <t>Ammonia makeup</t>
  </si>
  <si>
    <t>Sodium chloride</t>
  </si>
  <si>
    <t>Electricity</t>
  </si>
  <si>
    <t>kWh/kg soda ash</t>
  </si>
  <si>
    <t>MJ/kg soda ash</t>
  </si>
  <si>
    <t>0.8-2.1 kg/t soda ash; The Solvay soda ash process requires an input of ammonia to compensate for the inherent losses from the process</t>
  </si>
  <si>
    <t>Water, process</t>
  </si>
  <si>
    <t>m3/kg soda ash</t>
  </si>
  <si>
    <t>Water, cooling</t>
  </si>
  <si>
    <t>"The CO2 gas compressors can be driven either by electrical motors or steam turbines, with the  consumption of electricity in a range of between 50 and 130 kWh/t soda ash."</t>
  </si>
  <si>
    <t>Water, discharge</t>
  </si>
  <si>
    <t>Waste, inert</t>
  </si>
  <si>
    <t>ecoinvent</t>
  </si>
  <si>
    <t>unit/kg soda ash</t>
  </si>
  <si>
    <t>Calcium chloride, co-product</t>
  </si>
  <si>
    <t>Sodium bicarbonate, co-product</t>
  </si>
  <si>
    <t>Rumayor et al. (2020)</t>
  </si>
  <si>
    <t>"The amount of CO2 vented to the atmosphere from a standalone soda ash process is in the range of 200 to 300 kgCO2/t soda ash"</t>
  </si>
  <si>
    <t>NH3, emissions to air</t>
  </si>
  <si>
    <t>CO, emissions to air</t>
  </si>
  <si>
    <t>CO2, emissions to air</t>
  </si>
  <si>
    <t>"NOX are produced inside the kiln by the oxidation of nitrogen contained in the air used in the combustion process. Since the temperature inside the kiln is moderate (up to 1100 °C), the formation of NOX is rather limited. Specific emission value of 0.193 kg NO2/t soda ash was reported for the soda ash plant in Rheinberg, Germany"</t>
  </si>
  <si>
    <t>NOx, emissions to air</t>
  </si>
  <si>
    <t>"SOX are produced by the oxidation of compounds containing sulphur in the limestone and coke. The formation of SOX is limited both due to the low sulphur content in fuels used in limestone burning and some autopurification reactions in the lime kilns (see Section 2.3.8.1). Furthermore, SOX in the kiln gas sent to the process are absorbed. A specific emission value of 0.0003 kg SO2/t soda ash and the concentration of 2.5 mg SO2/m3 of the outlet gas were reported for the soda ash plant in Rheinberg, Germany"</t>
  </si>
  <si>
    <t>SOx, emissions to air</t>
  </si>
  <si>
    <t>PM, emissions to air</t>
  </si>
  <si>
    <t>BREF (2007)</t>
  </si>
  <si>
    <t>Gutierrez et al. (2025)</t>
  </si>
  <si>
    <t>"Due to the low demand of calcium chloride, only a small fraction is used as product and most of the liquid remaining after distillation is discarded with the wastewater. Consequently, approximately 1 t of CaCl2 per ton of soda ash is diluted with cooling water and discharged directly into the natural water body (river or sea)."</t>
  </si>
  <si>
    <t>quicklime production, PFRK, milled, loose</t>
  </si>
  <si>
    <t>quicklime production, PFRK with carbon capture and storage, milled, loose</t>
  </si>
  <si>
    <t>soda ash production, Solvay process</t>
  </si>
  <si>
    <t>Coke, lime kiln</t>
  </si>
  <si>
    <t>2.2-2.8 GJ/t soda ash dense; converted assuming 1.08 kg light soda ash per kg of dense soda ash. "Coke, and rarely coal, are used for limestone burning in lime kilns for soda ash production due to the necessity to obtain the highest CO2 concentration possible. Other type of fuels, natural gas  or fuel oil, would result in too low a CO2 concentration in the kiln gas" (BREF)</t>
  </si>
  <si>
    <t>7.5-10.8 GJ/t soda ash dense; converted assuming 1.08 kg light soda ash per kg of dense soda ash and subtracting 0.9 MJ/kg soda ash used for densification to convert soda ash light into soda ash dense.  "A range of steam pressures and temperatures are, therefore, required to meet the process needs and maximise the energy efficiency of the process. Steam is typically generated at superpressure (SP: 100 – 150 bar) or high pressure at 60 – 80 bar… IP steam is normally used for thermal decomposition and drying duties associated with the conversion of sodium bicarbonate to light soda ash, as well as the decomposition of sodium carbonate monohydrate and drying to produce dense ash. LP steam is primarily used for ammonia distillation."</t>
  </si>
  <si>
    <t>Heat</t>
  </si>
  <si>
    <t>Heat, from steam in Solvay process</t>
  </si>
  <si>
    <t>soda ash production, Solvay process with carbon capture and storage</t>
  </si>
  <si>
    <t>Electricity, CO2 capture</t>
  </si>
  <si>
    <t>kg/soda ash</t>
  </si>
  <si>
    <t>MEA makeup</t>
  </si>
  <si>
    <t>90% capture efficiency</t>
  </si>
  <si>
    <t>CCS adoption Solvay process [%]</t>
  </si>
  <si>
    <t>Solvay process</t>
  </si>
  <si>
    <t>Solvay process with CCS</t>
  </si>
  <si>
    <t>Trona process</t>
  </si>
  <si>
    <t>Heat, solvent regeneration</t>
  </si>
  <si>
    <t>"The MEA process requires a substantial  amount of heat (4.26 MJ per kg of CO2 captured) for solvent regeneration"</t>
  </si>
  <si>
    <t>"power supply  (0.13 kWh per kg of CO2 captured) is required for operating fans and pumps as well as for  compression and dehydration of the CO2 captured"</t>
  </si>
  <si>
    <t>90% capture efficiency; compression, transport, and storage modelled with premise LCI</t>
  </si>
  <si>
    <t>soda ash production, trona process</t>
  </si>
  <si>
    <t>IPCC</t>
  </si>
  <si>
    <t>BREF (2007); EEA (2019)</t>
  </si>
  <si>
    <t>"Carbon monoxide (CO) is virtually inert through the process. All CO must therefore be vented to the atmosphere either at the kilns or through the carbonation tower after gas scrubbers. The amount of CO released depends on the conversion of CO into CO2 (Boudouart reaction) during the limestone calcinations step. CO generation is in the range of 4 to 20 kg CO/t soda ash." Using this range, the European Enironment Agency (2019) recommends an emission factor of 9 kg CO/t soda ash.</t>
  </si>
  <si>
    <t>"The total emitted gaseous load is in a typical range of 0.6 to 1.5 kg NH3/t soda ash from the production unit". Using this range, the European Enironment Agency (2019) recommends an emission factor of 0.9 kg CO/t soda ash.</t>
  </si>
  <si>
    <t>"Dust is emitted from soda ash production in limited quantities, arising from handling and also from limestone conversion in kilns. It is common to use bag filters or wet scrubbers, which significantly reduce the levels of dust emitted to the atmosphere. The dust emitted is around 0.10 – 0.15 kg of dust/t soda ash". Using this range, the European Enironment Agency (2019) recommends an emission factor of 0.1 kg CO/t soda ash.</t>
  </si>
  <si>
    <t>BAT</t>
  </si>
  <si>
    <t>-</t>
  </si>
  <si>
    <t>LCI parameters</t>
  </si>
  <si>
    <t>Limestone consumption</t>
  </si>
  <si>
    <t>Sodium chloride consumption</t>
  </si>
  <si>
    <t>Coke consumption</t>
  </si>
  <si>
    <t>Heat consumption</t>
  </si>
  <si>
    <t>Electricity consumption</t>
  </si>
  <si>
    <t>Fuel switch [% MJ heat]</t>
  </si>
  <si>
    <t>Fuel switch [MJ heat/kg soda ash]</t>
  </si>
  <si>
    <t>Fuel switch [MJ heat/kg]</t>
  </si>
  <si>
    <t>Calculate scalars for premise (year 2020 = 1)</t>
  </si>
  <si>
    <t>Estimate</t>
  </si>
  <si>
    <t>Electricity, kiln + screening and sizing</t>
  </si>
  <si>
    <t>"For CO2 purification and capture, prior valorisation or storage, an improved cryogenic separation and distillation system was considered, with the theoretical electricity input for CO2 purification  (99.9% purity) and capture being 0.425 MJ kgCO2". Electricity for compression and injection into a geological survey is considered within the corresponding dataset</t>
  </si>
  <si>
    <t>Electricity consumption, with CCS</t>
  </si>
  <si>
    <t>See below by fuel type</t>
  </si>
  <si>
    <t>USLCI</t>
  </si>
  <si>
    <t>Diesel, in machinery</t>
  </si>
  <si>
    <t>Gasoline, combusted in equipment + Diesel, combusted in industrial equipment</t>
  </si>
  <si>
    <t>Fuel</t>
  </si>
  <si>
    <t>kg</t>
  </si>
  <si>
    <t>Amount</t>
  </si>
  <si>
    <t>l</t>
  </si>
  <si>
    <t>MJ</t>
  </si>
  <si>
    <t>Cement</t>
  </si>
  <si>
    <t>Steel</t>
  </si>
  <si>
    <t>Tailings, non-sulfidic</t>
  </si>
  <si>
    <t>LHV (MJ/unit)</t>
  </si>
  <si>
    <t>https://www.engineeringtoolbox.com/fuels-higher-calorific-values-d_169.html</t>
  </si>
  <si>
    <t>CO2 emissions from calcining trona ore; stoichiometric calculation (2006 IPCC Guidelines for National Greenhouse Gas Inventories: https://www.ipcc-nggip.iges.or.jp/efdb/ef_detail.php). US EPA (2009): default emission factor per unit of output either 0.0974 tons of CO2/ton of trona ore consumed or 0.138 tons of  CO2/ton soda ash produced. The default emission factor assumes that the fractional purity of each material is 100%.</t>
  </si>
  <si>
    <t>coal</t>
  </si>
  <si>
    <t>distillate fuel oil</t>
  </si>
  <si>
    <t>residual fuel oil</t>
  </si>
  <si>
    <t>natural gas</t>
  </si>
  <si>
    <t>cubic meter</t>
  </si>
  <si>
    <t>https://nepis.epa.gov/Exe/ZyNET.exe/P1009F3C.TXT?ZyActionD=ZyDocument&amp;Client=EPA&amp;Index=2006+Thru+2010&amp;Docs=&amp;Query=&amp;Time=&amp;EndTime=&amp;SearchMethod=1&amp;TocRestrict=n&amp;Toc=&amp;TocEntry=&amp;QField=&amp;QFieldYear=&amp;QFieldMonth=&amp;QFieldDay=&amp;IntQFieldOp=0&amp;ExtQFieldOp=0&amp;XmlQuery=&amp;File=D%3A%5Czyfiles%5CIndex%20Data%5C06thru10%5CTxt%5C00000022%5CP1009F3C.txt&amp;User=ANONYMOUS&amp;Password=anonymous&amp;SortMethod=h%7C-&amp;MaximumDocuments=1&amp;FuzzyDegree=0&amp;ImageQuality=r75g8/r75g8/x150y150g16/i425&amp;Display=hpfr&amp;DefSeekPage=x&amp;SearchBack=ZyActionL&amp;Back=ZyActionS&amp;BackDesc=Results%20page&amp;MaximumPages=1&amp;ZyEntry=1&amp;SeekPage=x&amp;ZyPURL</t>
  </si>
  <si>
    <t>US EPA (2009): Technical Support Document for the Soda Ash Manufacturing Sector: Proposed Rule for Mandatory Reporting of Greenhouse Gases</t>
  </si>
  <si>
    <t>% MJ</t>
  </si>
  <si>
    <t>US EPA (2009)</t>
  </si>
  <si>
    <t>Quicklime</t>
  </si>
  <si>
    <t>market for soda ash</t>
  </si>
  <si>
    <t>Baseline</t>
  </si>
  <si>
    <t>Waste, inert (fines limestone)</t>
  </si>
  <si>
    <t>Diesel, burned in building machine</t>
  </si>
  <si>
    <t>ecoinvent v3.10.1</t>
  </si>
  <si>
    <t>Estimate based on fines limestone production rate</t>
  </si>
  <si>
    <t>Average limestone fed to the kiln based on the BREF range of 1.4-2.2 kg limestone/kg quicklime. "The calcination of limestone can produce the by-product lime with particulate sizes and decarbonation levels which do not always correspond to the market requirements. This byproduct can be collected directly from the kiln outlet during start-up and shutdown procedures or by the screening or dedusting of the flue-gas. This by-product accounts for 1 to 5 % of the total yearly production." For the min-max range we keep the net input of limestone constant at 1.8 kg and adjust the input to plant based on the 1-5% rejection rate</t>
  </si>
  <si>
    <t>Heat consumption for PFRK ranges from 3.2 to 4.2 MJ/t quicklime (BREF, 2013). We assume an average of 3.7 MJ/t quicklime and 3.2 MJ/t quicklime for BAT. For the min-max range we use the BAT range</t>
  </si>
  <si>
    <t>Electricity use range for PFRK is 20-40 kWh/t lime. Moreover, between 10 and 40 kWh per tonne quicklime are required for the grinding to finer grades (BREF). For the min-max range we use the BAT range</t>
  </si>
  <si>
    <t>stoichiometric CO2 emission due to calcination (excluding rejected limestone). Since the net input of limestone is kept constant, these emissions do not change</t>
  </si>
  <si>
    <t>Water, air emission</t>
  </si>
  <si>
    <t>Water, to water bodies</t>
  </si>
  <si>
    <t>m3/kg quicklime</t>
  </si>
  <si>
    <t>CONFIDENTIAL</t>
  </si>
  <si>
    <t>Diesel used for on-site transportation; confidential ecoinvent data</t>
  </si>
  <si>
    <t>confidential ecoinvent data, yet very small in the range 10EXP-08</t>
  </si>
  <si>
    <t>Conventional process</t>
  </si>
  <si>
    <t>"the electricity consumption for oxygen production (air separation), which is required for oxyfuel combustion, was  assumed to be 262 MJ tCaO 1 (range 255–332 MJ tCaO 1)" (Foteinis et al., 2022). The lower value was assumed as BAT and the range used for the min-max</t>
  </si>
  <si>
    <t>Assuming 100% capture efficiency</t>
  </si>
  <si>
    <t>2035 BAT-Worst</t>
  </si>
  <si>
    <t>Activated carbon</t>
  </si>
  <si>
    <t>CO2, liquid</t>
  </si>
  <si>
    <t>Chlorine</t>
  </si>
  <si>
    <t>https://lcacommons.gov/lca-collaboration/National_Renewable_Energy_Laboratory/USLCI_Database_Public/dataset/PROCESS/0d95cc8b-a9a0-3630-a760-1ab4d88257d8?commitId=7d7143983462ce7c48bf8d64bccbe5cafda11c45?gladview=true</t>
  </si>
  <si>
    <t>USLCI dataset for trona soda ash</t>
  </si>
  <si>
    <t>USLCI, Reichl (2023)</t>
  </si>
  <si>
    <t>Reichl (2023)</t>
  </si>
  <si>
    <t>https://csgwest.org/wp-content/uploads/2023/10/Industrial-Water-Challenges-Trona-CGS-West-2023-09-14-Final.pdf</t>
  </si>
  <si>
    <t>We Soda</t>
  </si>
  <si>
    <t>https://wesoda.com/documents/we-soda-ensuring-sustainable-soda-ash-supply-2022</t>
  </si>
  <si>
    <t>Solvay ecoinvent</t>
  </si>
  <si>
    <t>Input</t>
  </si>
  <si>
    <t>Output</t>
  </si>
  <si>
    <t>Water, evaporation</t>
  </si>
  <si>
    <t>Evaporation rate</t>
  </si>
  <si>
    <t>Discharge rate</t>
  </si>
  <si>
    <t>The cooling agent is normally cooling water either in an open or closed loop. The closed loop requires a cooling tower with special water treatment. The open loop is the once-through system using, for example, river water. "the total flow of cooling water required... 50-100 m3/t soda ash". Values per kg of dense soda ash; converted assuming 1.08 kg light soda ash per kg of dense soda ash.
We assume that overall water intensity decreases by 25% based on announced targets by Solvay (https://www.solvay.com/en/article/how-do-more-less-water?utm_source=chatgpt.com)</t>
  </si>
  <si>
    <t>BAT-Worst</t>
  </si>
  <si>
    <t>"Total consumption of limestone at the plant inlet in the range of 1.1 – 1.5 tonne per tonne of soda ash"</t>
  </si>
  <si>
    <t>"Discharge of fines of limestone and non-recycled grits from the slaker in the range of 50 - 350 kg per tonne of soda ash produced". The average value corresponds to 15% of rejection</t>
  </si>
  <si>
    <t>"Total consumption of salt in the raw brine in the range of 1.5 – 1.7 tonne NaCl per tonne of soda ash"</t>
  </si>
  <si>
    <t>kg/kg</t>
  </si>
  <si>
    <t>Total, inputs</t>
  </si>
  <si>
    <t>Total, ouputs</t>
  </si>
  <si>
    <t>Incorporated into the product</t>
  </si>
  <si>
    <t>Input product</t>
  </si>
  <si>
    <t>Solid waste, limestone fines</t>
  </si>
  <si>
    <t>Solid waste, grits from slaker</t>
  </si>
  <si>
    <t>Factory infrastructure</t>
  </si>
  <si>
    <t>Some unburned stone, due to imperfect conversion reaction inside the kiln, is drawn with the lime to the slaker.</t>
  </si>
  <si>
    <t>=</t>
  </si>
  <si>
    <t>Activity</t>
  </si>
  <si>
    <t>Input water</t>
  </si>
  <si>
    <t>Slaking of the lime</t>
  </si>
  <si>
    <t>kg/kg soda ash (light)</t>
  </si>
  <si>
    <t>Evaporated water</t>
  </si>
  <si>
    <t>Process water</t>
  </si>
  <si>
    <t>Water balance in the Solvay process</t>
  </si>
  <si>
    <t>Evaporation ratio</t>
  </si>
  <si>
    <t>Wastewater</t>
  </si>
  <si>
    <t>Brine purification</t>
  </si>
  <si>
    <t>Water in brine is not considered in the overall water balance</t>
  </si>
  <si>
    <t>Washing and cooling</t>
  </si>
  <si>
    <t>Cooling</t>
  </si>
  <si>
    <t>Evaporation ratio calculated from the ecoinvent activity "lime production, hydrated, loose, weigt" as the ratio between input water and water emissions to air</t>
  </si>
  <si>
    <t>USLCI, Eti Soda</t>
  </si>
  <si>
    <t>Eti Soda</t>
  </si>
  <si>
    <t>https://www.etisoda.com/wp-content/uploads/2022/12/Eti-Soda-S.R.-2021-EN-1.pdf</t>
  </si>
  <si>
    <t>Water, recycle</t>
  </si>
  <si>
    <t>Water, withdrawal</t>
  </si>
  <si>
    <t>The USLCI dataset do not report evaporation or water to air. Based on the Eti Soda report, about 20-25% of the total withdrawal water is recycled and reused. Combined with 20% discharged, results in 60% of water potentially lost through evaporation or incorporated into the product. However, the mositure content of soda ash is reported to be very low, below 0.2% (https://basekim.com/wp-content/uploads/2024/04/specification-of-soda-ash-dense.pdf). Therefore, the total water withdrawal (W) is either: 𝑊 = Reused water + Wastewater discharge + Evaporated water</t>
  </si>
  <si>
    <t>Estimated</t>
  </si>
  <si>
    <t>Based on the Eti Soda report, about 20-25% of the total withdrawal water is recycled and reused. 20% is assumed by default and 25% in the BAT</t>
  </si>
  <si>
    <t>Solid waste, inert</t>
  </si>
  <si>
    <t>US EPA (2009): Technical Support Document for the Soda Ash Manufacturing Sector: Proposed Rule for Mandatory Reporting of Greenhouse Gases. Heat consumption is assumed to decrease at the same level as in the Solvay process (i.e., 20%)</t>
  </si>
  <si>
    <t>The USLCI dataset reports water withdrawal equal to 4.126 kg/kg soda ash. However, recent industry data suggests lower water intensities in the range from 1.62 to 2.43 kg/kg soda ash (We Soda), while Eti Soda reports 1.61-1.81 kg/kg soda ash for their operations. We use an average intensity of 2.025 kg as baseline, while assuming a 15% decrease in the BAT based on targets from the Wyoming's Trona Industry. For the BAT-Worst we use the upper bound of 2.43 kg</t>
  </si>
  <si>
    <t>The USLCI dataset reports 0.8936 kg of water discharged, which correspond to roughly 21% of the withdrawal. This number is very similar to the range of 15-20% reported by Eti Soda. We therefore assumed that 20% of the wather withdrawal is discharged, and this ratio decreases to 15% in the BAT based on the lower bound reported by Eti Soda</t>
  </si>
  <si>
    <t>the main consumer of water (apart from brine) is the slaker, where the lime coming from the lime kilns reacts with water to produce milk of lime. "The quantity of process water is in the range of 1.9 to 2.4 m3/t soda ash. The quality requirement for this water is not high. It is normally taken from the outlet of the cooling water system (warm water) (BREF document)". Therefore, we assume that this process water come from internal circulation. However, we assumed that about 7% of this water is evaporated (based on ecoinvent) and included as water evporation to air. Moreover, "Other water needs, in the range of 0.6 to 1.2 m3/t soda ash, require higher purity (i.e. absence of Ca and Mg salts) for different uses as additional wash-water to wash the sodium bicarbonate cake at the filter outlet". We assume this as freshwater input. "The above quoted process water requirements exclude the water entering into the process in the form of brine," Values per kg of dense soda ash; converted assuming 1.08 kg light soda ash per kg of dense soda ash. We assume the minimum BAT value for the future, which reduces process water by 33%. This is aligned with the 25% decrease in water intensity based on announced targets by Solvay (https://www.solvay.com/en/article/how-do-more-less-water?utm_source=chatgpt.com)</t>
  </si>
  <si>
    <t>the main consumer of water (apart from brine) is the slaker, where the lime coming from the lime kilns reacts with water to produce milk of lime. "The quantity of process water is in the range of 1.9 to 2.4 m3/t soda ash. The quality requirement for this water is not high. It is normally taken from the outlet of the cooling water system (warm water) (BREF document)". Therefore, we assume that this process water come from internal circulation. However, we assumed that about 7% of this water is evaporated (based on ecoinvent) and included as water evporation to air.</t>
  </si>
  <si>
    <t>"With regard to cooling water, it was assumed that only 5% of the abstracted water is consumed (evaporated)," (Journal of Cleaner Production 33 (2012) 155e166)… "Generally, it can be said that in industrial cooling towers, between one to five percent of the circulating water in the tower evaporates." (https://www.icib.co/en/news/calculation-of-evaporation-in-the-cooling-tower-a-necessity-for-water-consumption-management)</t>
  </si>
  <si>
    <t>the main consumer of water (apart from brine) is the slaker, where the lime coming from the lime kilns reacts with water to produce milk of lime. "The quantity of process water is in the range of 1.9 to 2.4 m3/t soda ash. The quality requirement for this water is not high. It is normally taken from the outlet of the cooling water system (warm water) (BREF document)". Therefore, we assume that this process water come from internal circulation. However, we assumed that about 7% of this water is evaporated (based on ecoinvent) and included as water evporation to air... Moreover, it was assumed that 5% of the input cooling water is evaporated, which is standard value for industial cooling systems (Journal of Cleaner Production 33 (2012) 155e166; https://www.icib.co/en/news/calculation-of-evaporation-in-the-cooling-tower-a-necessity-for-water-consumption-management)</t>
  </si>
  <si>
    <t>Overall water balance</t>
  </si>
  <si>
    <t>Heat consumption, with CCS</t>
  </si>
  <si>
    <t>with 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</si>
</sst>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
    <numFmt numFmtId="166" formatCode="0.0000"/>
    <numFmt numFmtId="171" formatCode="0.00000"/>
    <numFmt numFmtId="172" formatCode="0.000000"/>
  </numFmts>
  <fonts count="18"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
      <b/>
      <sz val="11"/>
      <color theme="1"/>
      <name val="Calibri"/>
      <family val="2"/>
      <scheme val="minor"/>
    </font>
    <font>
      <b/>
      <sz val="14"/>
      <color theme="1"/>
      <name val="Calibri"/>
      <family val="2"/>
      <scheme val="minor"/>
    </font>
    <font>
      <u/>
      <sz val="11"/>
      <color theme="10"/>
      <name val="Calibri"/>
      <family val="2"/>
      <scheme val="minor"/>
    </font>
    <font>
      <u/>
      <sz val="8"/>
      <color theme="10"/>
      <name val="Calibri"/>
      <family val="2"/>
      <scheme val="minor"/>
    </font>
    <font>
      <b/>
      <i/>
      <sz val="9"/>
      <color theme="1"/>
      <name val="Calibri"/>
      <family val="2"/>
      <scheme val="minor"/>
    </font>
    <font>
      <i/>
      <sz val="9"/>
      <color theme="0" tint="-0.34998626667073579"/>
      <name val="Calibri"/>
      <family val="2"/>
      <scheme val="minor"/>
    </font>
    <font>
      <sz val="9"/>
      <color theme="0" tint="-0.34998626667073579"/>
      <name val="Calibri"/>
      <family val="2"/>
      <scheme val="minor"/>
    </font>
    <font>
      <b/>
      <sz val="9"/>
      <color theme="0" tint="-0.34998626667073579"/>
      <name val="Calibri"/>
      <family val="2"/>
      <scheme val="minor"/>
    </font>
    <font>
      <b/>
      <i/>
      <sz val="9"/>
      <color theme="0" tint="-0.34998626667073579"/>
      <name val="Calibri"/>
      <family val="2"/>
      <scheme val="minor"/>
    </font>
    <font>
      <sz val="11"/>
      <color rgb="FFFF0000"/>
      <name val="Calibri"/>
      <family val="2"/>
      <scheme val="minor"/>
    </font>
    <font>
      <b/>
      <sz val="16"/>
      <color theme="1"/>
      <name val="Calibri"/>
      <family val="2"/>
      <scheme val="minor"/>
    </font>
    <font>
      <sz val="11"/>
      <name val="Calibri"/>
      <family val="2"/>
      <scheme val="minor"/>
    </font>
    <font>
      <i/>
      <sz val="11"/>
      <color rgb="FFFF0000"/>
      <name val="Calibri"/>
      <family val="2"/>
      <scheme val="minor"/>
    </font>
    <font>
      <b/>
      <sz val="18"/>
      <color theme="1"/>
      <name val="Calibri"/>
      <family val="2"/>
      <scheme val="minor"/>
    </font>
  </fonts>
  <fills count="7">
    <fill>
      <patternFill patternType="none"/>
    </fill>
    <fill>
      <patternFill patternType="gray125"/>
    </fill>
    <fill>
      <patternFill patternType="solid">
        <fgColor theme="5"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4"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103">
    <xf numFmtId="0" fontId="0" fillId="0" borderId="0" xfId="0"/>
    <xf numFmtId="0" fontId="1" fillId="0" borderId="0" xfId="0" applyFont="1"/>
    <xf numFmtId="0" fontId="2" fillId="0" borderId="0" xfId="0" applyFont="1"/>
    <xf numFmtId="0" fontId="3" fillId="0" borderId="0" xfId="0" applyFont="1"/>
    <xf numFmtId="0" fontId="2" fillId="0" borderId="0" xfId="0" applyFont="1" applyAlignment="1">
      <alignment horizontal="left" vertical="center" indent="2"/>
    </xf>
    <xf numFmtId="0" fontId="2" fillId="0" borderId="0" xfId="0" applyFont="1" applyAlignment="1">
      <alignment horizontal="center"/>
    </xf>
    <xf numFmtId="9" fontId="2" fillId="0" borderId="0" xfId="0" applyNumberFormat="1"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9" fontId="3" fillId="0" borderId="0" xfId="0" applyNumberFormat="1" applyFont="1" applyAlignment="1">
      <alignment horizontal="center"/>
    </xf>
    <xf numFmtId="10" fontId="2" fillId="0" borderId="0" xfId="0" applyNumberFormat="1" applyFont="1"/>
    <xf numFmtId="11" fontId="2" fillId="0" borderId="0" xfId="0" applyNumberFormat="1" applyFont="1"/>
    <xf numFmtId="0" fontId="4" fillId="0" borderId="0" xfId="0" applyFont="1" applyAlignment="1">
      <alignment horizontal="center"/>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wrapText="1"/>
    </xf>
    <xf numFmtId="3" fontId="0" fillId="0" borderId="0" xfId="0" applyNumberFormat="1" applyAlignment="1">
      <alignment horizontal="center"/>
    </xf>
    <xf numFmtId="9" fontId="0" fillId="0" borderId="0" xfId="0" applyNumberFormat="1" applyAlignment="1">
      <alignment horizontal="center"/>
    </xf>
    <xf numFmtId="0" fontId="6" fillId="0" borderId="0" xfId="1"/>
    <xf numFmtId="9" fontId="2" fillId="0" borderId="0" xfId="0" applyNumberFormat="1" applyFont="1" applyAlignment="1">
      <alignment horizontal="left"/>
    </xf>
    <xf numFmtId="9" fontId="7" fillId="0" borderId="0" xfId="1" applyNumberFormat="1" applyFont="1" applyAlignment="1">
      <alignment horizontal="left"/>
    </xf>
    <xf numFmtId="0" fontId="1" fillId="3" borderId="0" xfId="0" applyFont="1" applyFill="1"/>
    <xf numFmtId="0" fontId="2" fillId="3" borderId="0" xfId="0" applyFont="1" applyFill="1"/>
    <xf numFmtId="0" fontId="1" fillId="3" borderId="0" xfId="0" applyFont="1" applyFill="1" applyAlignment="1">
      <alignment horizontal="center"/>
    </xf>
    <xf numFmtId="0" fontId="2" fillId="3" borderId="0" xfId="0" applyFont="1" applyFill="1" applyAlignment="1">
      <alignment horizontal="center"/>
    </xf>
    <xf numFmtId="0" fontId="3" fillId="3" borderId="0" xfId="0" applyFont="1" applyFill="1" applyAlignment="1">
      <alignment horizontal="center"/>
    </xf>
    <xf numFmtId="164" fontId="0" fillId="0" borderId="0" xfId="0" applyNumberFormat="1"/>
    <xf numFmtId="164" fontId="2" fillId="0" borderId="0" xfId="0" applyNumberFormat="1" applyFont="1" applyAlignment="1">
      <alignment horizontal="center"/>
    </xf>
    <xf numFmtId="2" fontId="2" fillId="0" borderId="0" xfId="0" applyNumberFormat="1" applyFont="1" applyAlignment="1">
      <alignment horizontal="center"/>
    </xf>
    <xf numFmtId="0" fontId="8" fillId="0" borderId="0" xfId="0" applyFont="1"/>
    <xf numFmtId="0" fontId="8" fillId="0" borderId="0" xfId="0" applyFont="1" applyAlignment="1">
      <alignment horizontal="center"/>
    </xf>
    <xf numFmtId="0" fontId="3" fillId="0" borderId="0" xfId="0" applyFont="1" applyAlignment="1">
      <alignment horizontal="left" vertical="center" indent="2"/>
    </xf>
    <xf numFmtId="0" fontId="9" fillId="0" borderId="0" xfId="0" applyFont="1"/>
    <xf numFmtId="0" fontId="10" fillId="0" borderId="0" xfId="0" applyFont="1"/>
    <xf numFmtId="0" fontId="9" fillId="3" borderId="0" xfId="0" applyFont="1" applyFill="1" applyAlignment="1">
      <alignment horizontal="center"/>
    </xf>
    <xf numFmtId="0" fontId="11" fillId="0" borderId="0" xfId="0" applyFont="1" applyAlignment="1">
      <alignment horizontal="center"/>
    </xf>
    <xf numFmtId="2" fontId="10" fillId="0" borderId="0" xfId="0" applyNumberFormat="1" applyFont="1" applyAlignment="1">
      <alignment horizontal="center"/>
    </xf>
    <xf numFmtId="164" fontId="10" fillId="0" borderId="0" xfId="0" applyNumberFormat="1" applyFont="1" applyAlignment="1">
      <alignment horizontal="center"/>
    </xf>
    <xf numFmtId="0" fontId="12" fillId="0" borderId="0" xfId="0" applyFont="1" applyAlignment="1">
      <alignment horizontal="center"/>
    </xf>
    <xf numFmtId="9" fontId="9" fillId="0" borderId="0" xfId="0" applyNumberFormat="1" applyFont="1" applyAlignment="1">
      <alignment horizontal="center"/>
    </xf>
    <xf numFmtId="0" fontId="9" fillId="0" borderId="0" xfId="0" applyFont="1" applyAlignment="1">
      <alignment horizontal="center"/>
    </xf>
    <xf numFmtId="9" fontId="10" fillId="0" borderId="0" xfId="0" applyNumberFormat="1" applyFont="1" applyAlignment="1">
      <alignment horizontal="center"/>
    </xf>
    <xf numFmtId="0" fontId="9" fillId="0" borderId="0" xfId="0" applyFont="1" applyAlignment="1">
      <alignment horizontal="left"/>
    </xf>
    <xf numFmtId="10" fontId="0" fillId="0" borderId="0" xfId="0" applyNumberFormat="1"/>
    <xf numFmtId="164" fontId="0" fillId="0" borderId="0" xfId="0" applyNumberFormat="1" applyAlignment="1">
      <alignment horizontal="center"/>
    </xf>
    <xf numFmtId="0" fontId="0" fillId="0" borderId="0" xfId="0" applyAlignment="1">
      <alignment horizontal="right"/>
    </xf>
    <xf numFmtId="11" fontId="0" fillId="0" borderId="0" xfId="0" applyNumberFormat="1" applyAlignment="1">
      <alignment horizontal="center"/>
    </xf>
    <xf numFmtId="0" fontId="14" fillId="0" borderId="0" xfId="0" applyFont="1"/>
    <xf numFmtId="164" fontId="4" fillId="4" borderId="0" xfId="0" applyNumberFormat="1" applyFont="1" applyFill="1"/>
    <xf numFmtId="9" fontId="4" fillId="4" borderId="0" xfId="0" applyNumberFormat="1" applyFont="1" applyFill="1"/>
    <xf numFmtId="164" fontId="4" fillId="5" borderId="0" xfId="0" applyNumberFormat="1" applyFont="1" applyFill="1"/>
    <xf numFmtId="0" fontId="4" fillId="0" borderId="0" xfId="0" applyFont="1"/>
    <xf numFmtId="0" fontId="15" fillId="0" borderId="0" xfId="0" applyFont="1"/>
    <xf numFmtId="164" fontId="15" fillId="0" borderId="0" xfId="0" applyNumberFormat="1" applyFont="1" applyAlignment="1">
      <alignment horizontal="center"/>
    </xf>
    <xf numFmtId="0" fontId="5" fillId="6" borderId="0" xfId="0" applyFont="1" applyFill="1"/>
    <xf numFmtId="0" fontId="4" fillId="6" borderId="0" xfId="0" applyFont="1" applyFill="1"/>
    <xf numFmtId="0" fontId="0" fillId="6" borderId="0" xfId="0" applyFill="1"/>
    <xf numFmtId="0" fontId="0" fillId="6" borderId="0" xfId="0" applyFill="1" applyAlignment="1">
      <alignment horizontal="center"/>
    </xf>
    <xf numFmtId="11" fontId="15" fillId="0" borderId="0" xfId="0" applyNumberFormat="1" applyFont="1" applyAlignment="1">
      <alignment horizontal="center"/>
    </xf>
    <xf numFmtId="0" fontId="16" fillId="0" borderId="0" xfId="0" applyFont="1"/>
    <xf numFmtId="164" fontId="16" fillId="0" borderId="0" xfId="0" applyNumberFormat="1" applyFont="1" applyAlignment="1">
      <alignment horizontal="center"/>
    </xf>
    <xf numFmtId="0" fontId="13" fillId="0" borderId="0" xfId="0" applyFont="1"/>
    <xf numFmtId="164" fontId="13" fillId="0" borderId="0" xfId="0" applyNumberFormat="1" applyFont="1" applyAlignment="1">
      <alignment horizontal="center"/>
    </xf>
    <xf numFmtId="9" fontId="13" fillId="0" borderId="0" xfId="0" applyNumberFormat="1" applyFont="1" applyAlignment="1">
      <alignment horizontal="center"/>
    </xf>
    <xf numFmtId="166" fontId="15" fillId="0" borderId="0" xfId="0" applyNumberFormat="1" applyFon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0" fontId="4" fillId="0" borderId="1" xfId="0" applyFont="1" applyBorder="1"/>
    <xf numFmtId="0" fontId="0" fillId="0" borderId="1" xfId="0" applyBorder="1"/>
    <xf numFmtId="164" fontId="0" fillId="0" borderId="1" xfId="0" applyNumberFormat="1" applyBorder="1" applyAlignment="1">
      <alignment horizontal="center"/>
    </xf>
    <xf numFmtId="165" fontId="0" fillId="0" borderId="1" xfId="0" applyNumberFormat="1" applyBorder="1" applyAlignment="1">
      <alignment horizontal="center"/>
    </xf>
    <xf numFmtId="0" fontId="17" fillId="0" borderId="0" xfId="0" applyFont="1"/>
    <xf numFmtId="0" fontId="4" fillId="0" borderId="1" xfId="0" applyFont="1" applyBorder="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wrapText="1"/>
    </xf>
    <xf numFmtId="0" fontId="0" fillId="0" borderId="1" xfId="0" applyBorder="1" applyAlignment="1">
      <alignment vertical="top"/>
    </xf>
    <xf numFmtId="164" fontId="0" fillId="0" borderId="1" xfId="0" applyNumberFormat="1" applyBorder="1" applyAlignment="1">
      <alignment horizontal="center" vertical="top"/>
    </xf>
    <xf numFmtId="165" fontId="0" fillId="0" borderId="1" xfId="0" applyNumberFormat="1" applyBorder="1" applyAlignment="1">
      <alignment horizontal="center" vertical="top"/>
    </xf>
    <xf numFmtId="164" fontId="0" fillId="0" borderId="0" xfId="0" applyNumberFormat="1" applyAlignment="1">
      <alignment horizontal="center" vertical="top"/>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wrapText="1"/>
    </xf>
    <xf numFmtId="164" fontId="0" fillId="0" borderId="1" xfId="0" applyNumberFormat="1" applyBorder="1" applyAlignment="1">
      <alignment horizontal="center" wrapText="1"/>
    </xf>
    <xf numFmtId="166" fontId="0" fillId="0" borderId="0" xfId="0" applyNumberFormat="1" applyAlignment="1">
      <alignment horizontal="center"/>
    </xf>
    <xf numFmtId="0" fontId="0" fillId="0" borderId="0" xfId="0" applyAlignment="1">
      <alignment horizontal="center" vertical="top"/>
    </xf>
    <xf numFmtId="10" fontId="0" fillId="0" borderId="0" xfId="0" applyNumberFormat="1" applyAlignment="1">
      <alignment vertical="top"/>
    </xf>
    <xf numFmtId="164" fontId="0" fillId="0" borderId="1" xfId="0" applyNumberFormat="1" applyBorder="1" applyAlignment="1">
      <alignment horizontal="left" vertical="top" wrapText="1"/>
    </xf>
    <xf numFmtId="2" fontId="10" fillId="0" borderId="0" xfId="0" applyNumberFormat="1" applyFont="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0" borderId="5" xfId="0" applyFont="1" applyBorder="1" applyAlignment="1">
      <alignment horizontal="center"/>
    </xf>
    <xf numFmtId="0" fontId="4" fillId="0" borderId="1" xfId="0" applyFont="1" applyBorder="1" applyAlignment="1">
      <alignment horizontal="center"/>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0" fontId="4" fillId="0" borderId="1" xfId="0" applyFont="1" applyBorder="1" applyAlignment="1">
      <alignment horizontal="center" vertical="center" wrapText="1"/>
    </xf>
    <xf numFmtId="0" fontId="0" fillId="0" borderId="0" xfId="0" applyAlignment="1">
      <alignment horizontal="center"/>
    </xf>
    <xf numFmtId="0" fontId="4" fillId="0" borderId="2" xfId="0" applyFont="1" applyBorder="1" applyAlignment="1">
      <alignment horizontal="center"/>
    </xf>
    <xf numFmtId="0" fontId="4" fillId="0" borderId="1" xfId="0" applyFont="1" applyBorder="1" applyAlignment="1">
      <alignment vertical="center"/>
    </xf>
    <xf numFmtId="164" fontId="2" fillId="0" borderId="0" xfId="0" applyNumberFormat="1" applyFont="1"/>
    <xf numFmtId="171" fontId="2" fillId="0" borderId="0" xfId="0" applyNumberFormat="1" applyFont="1"/>
    <xf numFmtId="172"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percentStacked"/>
        <c:varyColors val="0"/>
        <c:ser>
          <c:idx val="1"/>
          <c:order val="2"/>
          <c:tx>
            <c:strRef>
              <c:f>'Soda ash_USGS'!$E$2</c:f>
              <c:strCache>
                <c:ptCount val="1"/>
                <c:pt idx="0">
                  <c:v>Natural soda ash share</c:v>
                </c:pt>
              </c:strCache>
            </c:strRef>
          </c:tx>
          <c:spPr>
            <a:solidFill>
              <a:schemeClr val="accent2">
                <a:lumMod val="20000"/>
                <a:lumOff val="80000"/>
              </a:schemeClr>
            </a:solidFill>
            <a:ln>
              <a:noFill/>
            </a:ln>
            <a:effectLst/>
          </c:spPr>
          <c:val>
            <c:numRef>
              <c:f>'Soda ash_USGS'!$E$3:$E$17</c:f>
              <c:numCache>
                <c:formatCode>0%</c:formatCode>
                <c:ptCount val="15"/>
                <c:pt idx="0">
                  <c:v>0.26947368421052631</c:v>
                </c:pt>
                <c:pt idx="1">
                  <c:v>0.25341130604288498</c:v>
                </c:pt>
                <c:pt idx="2">
                  <c:v>0.26275992438563328</c:v>
                </c:pt>
                <c:pt idx="3">
                  <c:v>0.2807017543859649</c:v>
                </c:pt>
                <c:pt idx="4">
                  <c:v>0.2807017543859649</c:v>
                </c:pt>
                <c:pt idx="5">
                  <c:v>0.26591760299625467</c:v>
                </c:pt>
                <c:pt idx="6">
                  <c:v>0.26865671641791045</c:v>
                </c:pt>
                <c:pt idx="7">
                  <c:v>0.26851851851851855</c:v>
                </c:pt>
                <c:pt idx="8">
                  <c:v>0.2807017543859649</c:v>
                </c:pt>
                <c:pt idx="9">
                  <c:v>0.27816901408450706</c:v>
                </c:pt>
                <c:pt idx="10">
                  <c:v>0.26678765880217786</c:v>
                </c:pt>
                <c:pt idx="11">
                  <c:v>0.28520499108734404</c:v>
                </c:pt>
                <c:pt idx="12">
                  <c:v>0.35725190839694654</c:v>
                </c:pt>
                <c:pt idx="13">
                  <c:v>0.33381712626995647</c:v>
                </c:pt>
                <c:pt idx="14">
                  <c:v>0.32876712328767121</c:v>
                </c:pt>
              </c:numCache>
            </c:numRef>
          </c:val>
          <c:extLst>
            <c:ext xmlns:c16="http://schemas.microsoft.com/office/drawing/2014/chart" uri="{C3380CC4-5D6E-409C-BE32-E72D297353CC}">
              <c16:uniqueId val="{00000004-B4F1-4B5D-9829-C4D3A7EDB01D}"/>
            </c:ext>
          </c:extLst>
        </c:ser>
        <c:ser>
          <c:idx val="3"/>
          <c:order val="3"/>
          <c:tx>
            <c:strRef>
              <c:f>'Soda ash_USGS'!$F$2</c:f>
              <c:strCache>
                <c:ptCount val="1"/>
                <c:pt idx="0">
                  <c:v>Synthetic soda ash share</c:v>
                </c:pt>
              </c:strCache>
            </c:strRef>
          </c:tx>
          <c:spPr>
            <a:solidFill>
              <a:schemeClr val="accent1">
                <a:lumMod val="40000"/>
                <a:lumOff val="60000"/>
              </a:schemeClr>
            </a:solidFill>
            <a:ln>
              <a:noFill/>
            </a:ln>
            <a:effectLst/>
          </c:spPr>
          <c:val>
            <c:numRef>
              <c:f>'Soda ash_USGS'!$F$3:$F$17</c:f>
              <c:numCache>
                <c:formatCode>0%</c:formatCode>
                <c:ptCount val="15"/>
                <c:pt idx="0">
                  <c:v>0.73052631578947369</c:v>
                </c:pt>
                <c:pt idx="1">
                  <c:v>0.74658869395711502</c:v>
                </c:pt>
                <c:pt idx="2">
                  <c:v>0.73724007561436677</c:v>
                </c:pt>
                <c:pt idx="3">
                  <c:v>0.7192982456140351</c:v>
                </c:pt>
                <c:pt idx="4">
                  <c:v>0.7192982456140351</c:v>
                </c:pt>
                <c:pt idx="5">
                  <c:v>0.73408239700374533</c:v>
                </c:pt>
                <c:pt idx="6">
                  <c:v>0.73134328358208955</c:v>
                </c:pt>
                <c:pt idx="7">
                  <c:v>0.73148148148148151</c:v>
                </c:pt>
                <c:pt idx="8">
                  <c:v>0.7192982456140351</c:v>
                </c:pt>
                <c:pt idx="9">
                  <c:v>0.721830985915493</c:v>
                </c:pt>
                <c:pt idx="10">
                  <c:v>0.73321234119782219</c:v>
                </c:pt>
                <c:pt idx="11">
                  <c:v>0.71479500891265602</c:v>
                </c:pt>
                <c:pt idx="12">
                  <c:v>0.64274809160305346</c:v>
                </c:pt>
                <c:pt idx="13">
                  <c:v>0.66618287373004359</c:v>
                </c:pt>
                <c:pt idx="14">
                  <c:v>0.67123287671232879</c:v>
                </c:pt>
              </c:numCache>
            </c:numRef>
          </c:val>
          <c:extLst>
            <c:ext xmlns:c16="http://schemas.microsoft.com/office/drawing/2014/chart" uri="{C3380CC4-5D6E-409C-BE32-E72D297353CC}">
              <c16:uniqueId val="{00000005-B4F1-4B5D-9829-C4D3A7EDB01D}"/>
            </c:ext>
          </c:extLst>
        </c:ser>
        <c:dLbls>
          <c:showLegendKey val="0"/>
          <c:showVal val="0"/>
          <c:showCatName val="0"/>
          <c:showSerName val="0"/>
          <c:showPercent val="0"/>
          <c:showBubbleSize val="0"/>
        </c:dLbls>
        <c:axId val="379223791"/>
        <c:axId val="379222351"/>
      </c:areaChart>
      <c:lineChart>
        <c:grouping val="standard"/>
        <c:varyColors val="0"/>
        <c:ser>
          <c:idx val="2"/>
          <c:order val="0"/>
          <c:tx>
            <c:strRef>
              <c:f>'Soda ash_USGS'!$B$2</c:f>
              <c:strCache>
                <c:ptCount val="1"/>
                <c:pt idx="0">
                  <c:v>Natural soda ash volume</c:v>
                </c:pt>
              </c:strCache>
            </c:strRef>
          </c:tx>
          <c:spPr>
            <a:ln w="38100" cap="rnd">
              <a:solidFill>
                <a:schemeClr val="accent2">
                  <a:lumMod val="75000"/>
                </a:schemeClr>
              </a:solidFill>
              <a:round/>
            </a:ln>
            <a:effectLst/>
          </c:spPr>
          <c:marker>
            <c:symbol val="none"/>
          </c:marker>
          <c:cat>
            <c:numRef>
              <c:f>'Soda ash_USGS'!$A$3:$A$17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'Soda ash_USGS'!$B$3:$B$17</c:f>
              <c:numCache>
                <c:formatCode>#,##0</c:formatCode>
                <c:ptCount val="15"/>
                <c:pt idx="0">
                  <c:v>12800</c:v>
                </c:pt>
                <c:pt idx="1">
                  <c:v>13000</c:v>
                </c:pt>
                <c:pt idx="2">
                  <c:v>13900</c:v>
                </c:pt>
                <c:pt idx="3">
                  <c:v>14400</c:v>
                </c:pt>
                <c:pt idx="4">
                  <c:v>14400</c:v>
                </c:pt>
                <c:pt idx="5">
                  <c:v>14200</c:v>
                </c:pt>
                <c:pt idx="6">
                  <c:v>14400</c:v>
                </c:pt>
                <c:pt idx="7">
                  <c:v>14500</c:v>
                </c:pt>
                <c:pt idx="8">
                  <c:v>16000</c:v>
                </c:pt>
                <c:pt idx="9">
                  <c:v>15800</c:v>
                </c:pt>
                <c:pt idx="10">
                  <c:v>14700</c:v>
                </c:pt>
                <c:pt idx="11">
                  <c:v>16000</c:v>
                </c:pt>
                <c:pt idx="12">
                  <c:v>23400</c:v>
                </c:pt>
                <c:pt idx="13">
                  <c:v>23000</c:v>
                </c:pt>
                <c:pt idx="14">
                  <c:v>24000</c:v>
                </c:pt>
              </c:numCache>
            </c:numRef>
          </c:val>
          <c:smooth val="0"/>
          <c:extLst>
            <c:ext xmlns:c16="http://schemas.microsoft.com/office/drawing/2014/chart" uri="{C3380CC4-5D6E-409C-BE32-E72D297353CC}">
              <c16:uniqueId val="{00000002-B4F1-4B5D-9829-C4D3A7EDB01D}"/>
            </c:ext>
          </c:extLst>
        </c:ser>
        <c:ser>
          <c:idx val="0"/>
          <c:order val="1"/>
          <c:tx>
            <c:strRef>
              <c:f>'Soda ash_USGS'!$C$2</c:f>
              <c:strCache>
                <c:ptCount val="1"/>
                <c:pt idx="0">
                  <c:v>Synthetic soda ash volume</c:v>
                </c:pt>
              </c:strCache>
            </c:strRef>
          </c:tx>
          <c:spPr>
            <a:ln w="38100" cap="rnd">
              <a:solidFill>
                <a:srgbClr val="002060"/>
              </a:solidFill>
              <a:round/>
            </a:ln>
            <a:effectLst/>
          </c:spPr>
          <c:marker>
            <c:symbol val="none"/>
          </c:marker>
          <c:cat>
            <c:numRef>
              <c:f>'Soda ash_USGS'!$A$3:$A$17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cat>
          <c:val>
            <c:numRef>
              <c:f>'Soda ash_USGS'!$C$3:$C$17</c:f>
              <c:numCache>
                <c:formatCode>#,##0</c:formatCode>
                <c:ptCount val="15"/>
                <c:pt idx="0">
                  <c:v>34700</c:v>
                </c:pt>
                <c:pt idx="1">
                  <c:v>38300</c:v>
                </c:pt>
                <c:pt idx="2">
                  <c:v>39000</c:v>
                </c:pt>
                <c:pt idx="3">
                  <c:v>36900</c:v>
                </c:pt>
                <c:pt idx="4">
                  <c:v>36900</c:v>
                </c:pt>
                <c:pt idx="5">
                  <c:v>39200</c:v>
                </c:pt>
                <c:pt idx="6">
                  <c:v>39200</c:v>
                </c:pt>
                <c:pt idx="7">
                  <c:v>39500</c:v>
                </c:pt>
                <c:pt idx="8">
                  <c:v>41000</c:v>
                </c:pt>
                <c:pt idx="9">
                  <c:v>41000</c:v>
                </c:pt>
                <c:pt idx="10">
                  <c:v>40400</c:v>
                </c:pt>
                <c:pt idx="11">
                  <c:v>40100</c:v>
                </c:pt>
                <c:pt idx="12">
                  <c:v>42100</c:v>
                </c:pt>
                <c:pt idx="13">
                  <c:v>45900</c:v>
                </c:pt>
                <c:pt idx="14">
                  <c:v>49000</c:v>
                </c:pt>
              </c:numCache>
            </c:numRef>
          </c:val>
          <c:smooth val="0"/>
          <c:extLst>
            <c:ext xmlns:c16="http://schemas.microsoft.com/office/drawing/2014/chart" uri="{C3380CC4-5D6E-409C-BE32-E72D297353CC}">
              <c16:uniqueId val="{00000003-B4F1-4B5D-9829-C4D3A7EDB01D}"/>
            </c:ext>
          </c:extLst>
        </c:ser>
        <c:dLbls>
          <c:showLegendKey val="0"/>
          <c:showVal val="0"/>
          <c:showCatName val="0"/>
          <c:showSerName val="0"/>
          <c:showPercent val="0"/>
          <c:showBubbleSize val="0"/>
        </c:dLbls>
        <c:marker val="1"/>
        <c:smooth val="0"/>
        <c:axId val="2098153919"/>
        <c:axId val="2098155359"/>
      </c:lineChart>
      <c:catAx>
        <c:axId val="209815391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98155359"/>
        <c:crosses val="autoZero"/>
        <c:auto val="1"/>
        <c:lblAlgn val="ctr"/>
        <c:lblOffset val="100"/>
        <c:noMultiLvlLbl val="0"/>
      </c:catAx>
      <c:valAx>
        <c:axId val="2098155359"/>
        <c:scaling>
          <c:orientation val="minMax"/>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latin typeface="Arial" panose="020B0604020202020204" pitchFamily="34" charset="0"/>
                    <a:cs typeface="Arial" panose="020B0604020202020204" pitchFamily="34" charset="0"/>
                  </a:rPr>
                  <a:t>Production volume (kt/year)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98153919"/>
        <c:crosses val="autoZero"/>
        <c:crossBetween val="between"/>
      </c:valAx>
      <c:valAx>
        <c:axId val="379222351"/>
        <c:scaling>
          <c:orientation val="minMax"/>
        </c:scaling>
        <c:delete val="0"/>
        <c:axPos val="r"/>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79223791"/>
        <c:crosses val="max"/>
        <c:crossBetween val="between"/>
      </c:valAx>
      <c:catAx>
        <c:axId val="379223791"/>
        <c:scaling>
          <c:orientation val="minMax"/>
        </c:scaling>
        <c:delete val="1"/>
        <c:axPos val="b"/>
        <c:majorTickMark val="out"/>
        <c:minorTickMark val="none"/>
        <c:tickLblPos val="nextTo"/>
        <c:crossAx val="379222351"/>
        <c:crosses val="autoZero"/>
        <c:auto val="1"/>
        <c:lblAlgn val="ctr"/>
        <c:lblOffset val="100"/>
        <c:noMultiLvlLbl val="0"/>
      </c:catAx>
      <c:spPr>
        <a:noFill/>
        <a:ln>
          <a:noFill/>
        </a:ln>
        <a:effectLst/>
      </c:spPr>
    </c:plotArea>
    <c:legend>
      <c:legendPos val="b"/>
      <c:layout>
        <c:manualLayout>
          <c:xMode val="edge"/>
          <c:yMode val="edge"/>
          <c:x val="0.19910260252472808"/>
          <c:y val="0.88654390340854394"/>
          <c:w val="0.63831598334002659"/>
          <c:h val="9.095258373994206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43088363954505"/>
          <c:y val="4.2822377865030119E-2"/>
          <c:w val="0.78120800524934386"/>
          <c:h val="0.83112779184584684"/>
        </c:manualLayout>
      </c:layout>
      <c:scatterChart>
        <c:scatterStyle val="lineMarker"/>
        <c:varyColors val="0"/>
        <c:ser>
          <c:idx val="0"/>
          <c:order val="0"/>
          <c:tx>
            <c:v>Natural soda ash - historic</c:v>
          </c:tx>
          <c:spPr>
            <a:ln w="19050" cap="rnd">
              <a:noFill/>
              <a:round/>
            </a:ln>
            <a:effectLst/>
          </c:spPr>
          <c:marker>
            <c:symbol val="circle"/>
            <c:size val="7"/>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2.6195756780402448E-2"/>
                  <c:y val="0.1254291050552169"/>
                </c:manualLayout>
              </c:layout>
              <c:numFmt formatCode="General" sourceLinked="0"/>
              <c:spPr>
                <a:noFill/>
                <a:ln>
                  <a:solidFill>
                    <a:sysClr val="windowText" lastClr="000000"/>
                  </a:solid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trendlineLbl>
          </c:trendline>
          <c:xVal>
            <c:numRef>
              <c:f>'Soda ash_USGS'!$A$3:$A$17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xVal>
          <c:yVal>
            <c:numRef>
              <c:f>'Soda ash_USGS'!$E$3:$E$17</c:f>
              <c:numCache>
                <c:formatCode>0%</c:formatCode>
                <c:ptCount val="15"/>
                <c:pt idx="0">
                  <c:v>0.26947368421052631</c:v>
                </c:pt>
                <c:pt idx="1">
                  <c:v>0.25341130604288498</c:v>
                </c:pt>
                <c:pt idx="2">
                  <c:v>0.26275992438563328</c:v>
                </c:pt>
                <c:pt idx="3">
                  <c:v>0.2807017543859649</c:v>
                </c:pt>
                <c:pt idx="4">
                  <c:v>0.2807017543859649</c:v>
                </c:pt>
                <c:pt idx="5">
                  <c:v>0.26591760299625467</c:v>
                </c:pt>
                <c:pt idx="6">
                  <c:v>0.26865671641791045</c:v>
                </c:pt>
                <c:pt idx="7">
                  <c:v>0.26851851851851855</c:v>
                </c:pt>
                <c:pt idx="8">
                  <c:v>0.2807017543859649</c:v>
                </c:pt>
                <c:pt idx="9">
                  <c:v>0.27816901408450706</c:v>
                </c:pt>
                <c:pt idx="10">
                  <c:v>0.26678765880217786</c:v>
                </c:pt>
                <c:pt idx="11">
                  <c:v>0.28520499108734404</c:v>
                </c:pt>
                <c:pt idx="12">
                  <c:v>0.35725190839694654</c:v>
                </c:pt>
                <c:pt idx="13">
                  <c:v>0.33381712626995647</c:v>
                </c:pt>
                <c:pt idx="14">
                  <c:v>0.32876712328767121</c:v>
                </c:pt>
              </c:numCache>
            </c:numRef>
          </c:yVal>
          <c:smooth val="0"/>
          <c:extLst>
            <c:ext xmlns:c16="http://schemas.microsoft.com/office/drawing/2014/chart" uri="{C3380CC4-5D6E-409C-BE32-E72D297353CC}">
              <c16:uniqueId val="{00000000-7F33-496C-A6F3-654D26F2D5B4}"/>
            </c:ext>
          </c:extLst>
        </c:ser>
        <c:ser>
          <c:idx val="1"/>
          <c:order val="1"/>
          <c:tx>
            <c:v>Natural soda ash - projection</c:v>
          </c:tx>
          <c:spPr>
            <a:ln w="25400" cap="rnd">
              <a:noFill/>
              <a:round/>
            </a:ln>
            <a:effectLst/>
          </c:spPr>
          <c:marker>
            <c:symbol val="circle"/>
            <c:size val="7"/>
            <c:spPr>
              <a:solidFill>
                <a:schemeClr val="accent2"/>
              </a:solidFill>
              <a:ln w="9525">
                <a:solidFill>
                  <a:schemeClr val="accent2"/>
                </a:solidFill>
              </a:ln>
              <a:effectLst/>
            </c:spPr>
          </c:marker>
          <c:xVal>
            <c:numRef>
              <c:f>'Soda ash_USGS'!$A$19:$A$21</c:f>
              <c:numCache>
                <c:formatCode>General</c:formatCode>
                <c:ptCount val="3"/>
                <c:pt idx="0">
                  <c:v>2025</c:v>
                </c:pt>
                <c:pt idx="1">
                  <c:v>2030</c:v>
                </c:pt>
                <c:pt idx="2">
                  <c:v>2035</c:v>
                </c:pt>
              </c:numCache>
            </c:numRef>
          </c:xVal>
          <c:yVal>
            <c:numRef>
              <c:f>'Soda ash_USGS'!$E$19:$E$23</c:f>
              <c:numCache>
                <c:formatCode>0%</c:formatCode>
                <c:ptCount val="5"/>
                <c:pt idx="0">
                  <c:v>0.32423834694808784</c:v>
                </c:pt>
                <c:pt idx="1">
                  <c:v>0.35212241466369704</c:v>
                </c:pt>
                <c:pt idx="2">
                  <c:v>0.38240447521293092</c:v>
                </c:pt>
                <c:pt idx="3">
                  <c:v>0.41529075279840283</c:v>
                </c:pt>
                <c:pt idx="4">
                  <c:v>0.48979105611490903</c:v>
                </c:pt>
              </c:numCache>
            </c:numRef>
          </c:yVal>
          <c:smooth val="0"/>
          <c:extLst>
            <c:ext xmlns:c16="http://schemas.microsoft.com/office/drawing/2014/chart" uri="{C3380CC4-5D6E-409C-BE32-E72D297353CC}">
              <c16:uniqueId val="{00000004-7F33-496C-A6F3-654D26F2D5B4}"/>
            </c:ext>
          </c:extLst>
        </c:ser>
        <c:ser>
          <c:idx val="2"/>
          <c:order val="2"/>
          <c:tx>
            <c:v>Synthetic soda ash - historic</c:v>
          </c:tx>
          <c:spPr>
            <a:ln w="25400" cap="rnd">
              <a:noFill/>
              <a:round/>
            </a:ln>
            <a:effectLst/>
          </c:spPr>
          <c:marker>
            <c:symbol val="diamond"/>
            <c:size val="7"/>
            <c:spPr>
              <a:solidFill>
                <a:schemeClr val="accent3"/>
              </a:solidFill>
              <a:ln w="9525">
                <a:solidFill>
                  <a:schemeClr val="accent3"/>
                </a:solidFill>
              </a:ln>
              <a:effectLst/>
            </c:spPr>
          </c:marker>
          <c:xVal>
            <c:numRef>
              <c:f>'Soda ash_USGS'!$A$3:$A$17</c:f>
              <c:numCache>
                <c:formatCode>General</c:formatCod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numCache>
            </c:numRef>
          </c:xVal>
          <c:yVal>
            <c:numRef>
              <c:f>'Soda ash_USGS'!$F$3:$F$17</c:f>
              <c:numCache>
                <c:formatCode>0%</c:formatCode>
                <c:ptCount val="15"/>
                <c:pt idx="0">
                  <c:v>0.73052631578947369</c:v>
                </c:pt>
                <c:pt idx="1">
                  <c:v>0.74658869395711502</c:v>
                </c:pt>
                <c:pt idx="2">
                  <c:v>0.73724007561436677</c:v>
                </c:pt>
                <c:pt idx="3">
                  <c:v>0.7192982456140351</c:v>
                </c:pt>
                <c:pt idx="4">
                  <c:v>0.7192982456140351</c:v>
                </c:pt>
                <c:pt idx="5">
                  <c:v>0.73408239700374533</c:v>
                </c:pt>
                <c:pt idx="6">
                  <c:v>0.73134328358208955</c:v>
                </c:pt>
                <c:pt idx="7">
                  <c:v>0.73148148148148151</c:v>
                </c:pt>
                <c:pt idx="8">
                  <c:v>0.7192982456140351</c:v>
                </c:pt>
                <c:pt idx="9">
                  <c:v>0.721830985915493</c:v>
                </c:pt>
                <c:pt idx="10">
                  <c:v>0.73321234119782219</c:v>
                </c:pt>
                <c:pt idx="11">
                  <c:v>0.71479500891265602</c:v>
                </c:pt>
                <c:pt idx="12">
                  <c:v>0.64274809160305346</c:v>
                </c:pt>
                <c:pt idx="13">
                  <c:v>0.66618287373004359</c:v>
                </c:pt>
                <c:pt idx="14">
                  <c:v>0.67123287671232879</c:v>
                </c:pt>
              </c:numCache>
            </c:numRef>
          </c:yVal>
          <c:smooth val="0"/>
          <c:extLst>
            <c:ext xmlns:c16="http://schemas.microsoft.com/office/drawing/2014/chart" uri="{C3380CC4-5D6E-409C-BE32-E72D297353CC}">
              <c16:uniqueId val="{00000005-7F33-496C-A6F3-654D26F2D5B4}"/>
            </c:ext>
          </c:extLst>
        </c:ser>
        <c:ser>
          <c:idx val="3"/>
          <c:order val="3"/>
          <c:tx>
            <c:v>Synthetic soda ash - projection</c:v>
          </c:tx>
          <c:spPr>
            <a:ln w="25400" cap="rnd">
              <a:noFill/>
              <a:round/>
            </a:ln>
            <a:effectLst/>
          </c:spPr>
          <c:marker>
            <c:symbol val="diamond"/>
            <c:size val="7"/>
            <c:spPr>
              <a:solidFill>
                <a:schemeClr val="accent4"/>
              </a:solidFill>
              <a:ln w="9525">
                <a:solidFill>
                  <a:schemeClr val="accent4"/>
                </a:solidFill>
              </a:ln>
              <a:effectLst/>
            </c:spPr>
          </c:marker>
          <c:xVal>
            <c:numRef>
              <c:f>'Soda ash_USGS'!$A$19:$A$22</c:f>
              <c:numCache>
                <c:formatCode>General</c:formatCode>
                <c:ptCount val="4"/>
                <c:pt idx="0">
                  <c:v>2025</c:v>
                </c:pt>
                <c:pt idx="1">
                  <c:v>2030</c:v>
                </c:pt>
                <c:pt idx="2">
                  <c:v>2035</c:v>
                </c:pt>
                <c:pt idx="3">
                  <c:v>2040</c:v>
                </c:pt>
              </c:numCache>
            </c:numRef>
          </c:xVal>
          <c:yVal>
            <c:numRef>
              <c:f>'Soda ash_USGS'!$F$19:$F$21</c:f>
              <c:numCache>
                <c:formatCode>0%</c:formatCode>
                <c:ptCount val="3"/>
                <c:pt idx="0">
                  <c:v>0.67576165305191216</c:v>
                </c:pt>
                <c:pt idx="1">
                  <c:v>0.64787758533630302</c:v>
                </c:pt>
                <c:pt idx="2">
                  <c:v>0.61759552478706903</c:v>
                </c:pt>
              </c:numCache>
            </c:numRef>
          </c:yVal>
          <c:smooth val="0"/>
          <c:extLst>
            <c:ext xmlns:c16="http://schemas.microsoft.com/office/drawing/2014/chart" uri="{C3380CC4-5D6E-409C-BE32-E72D297353CC}">
              <c16:uniqueId val="{00000006-7F33-496C-A6F3-654D26F2D5B4}"/>
            </c:ext>
          </c:extLst>
        </c:ser>
        <c:dLbls>
          <c:showLegendKey val="0"/>
          <c:showVal val="0"/>
          <c:showCatName val="0"/>
          <c:showSerName val="0"/>
          <c:showPercent val="0"/>
          <c:showBubbleSize val="0"/>
        </c:dLbls>
        <c:axId val="384690639"/>
        <c:axId val="2097734543"/>
      </c:scatterChart>
      <c:valAx>
        <c:axId val="38469063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97734543"/>
        <c:crosses val="autoZero"/>
        <c:crossBetween val="midCat"/>
      </c:valAx>
      <c:valAx>
        <c:axId val="2097734543"/>
        <c:scaling>
          <c:orientation val="minMax"/>
          <c:max val="1"/>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latin typeface="Arial" panose="020B0604020202020204" pitchFamily="34" charset="0"/>
                    <a:cs typeface="Arial" panose="020B0604020202020204" pitchFamily="34" charset="0"/>
                  </a:rPr>
                  <a:t>Market share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384690639"/>
        <c:crosses val="autoZero"/>
        <c:crossBetween val="midCat"/>
      </c:valAx>
      <c:spPr>
        <a:noFill/>
        <a:ln>
          <a:noFill/>
        </a:ln>
        <a:effectLst/>
      </c:spPr>
    </c:plotArea>
    <c:legend>
      <c:legendPos val="b"/>
      <c:legendEntry>
        <c:idx val="4"/>
        <c:delete val="1"/>
      </c:legendEntry>
      <c:layout>
        <c:manualLayout>
          <c:xMode val="edge"/>
          <c:yMode val="edge"/>
          <c:x val="0.54970647419072616"/>
          <c:y val="3.6889470752806366E-2"/>
          <c:w val="0.40058705161854774"/>
          <c:h val="0.2156653883303043"/>
        </c:manualLayout>
      </c:layout>
      <c:overlay val="0"/>
      <c:spPr>
        <a:noFill/>
        <a:ln>
          <a:solidFill>
            <a:sysClr val="windowText" lastClr="000000"/>
          </a:solid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140078210312149"/>
          <c:y val="4.8087431693989074E-2"/>
          <c:w val="0.67078276792890112"/>
          <c:h val="0.68380947463534281"/>
        </c:manualLayout>
      </c:layout>
      <c:areaChart>
        <c:grouping val="stacked"/>
        <c:varyColors val="0"/>
        <c:ser>
          <c:idx val="2"/>
          <c:order val="0"/>
          <c:tx>
            <c:strRef>
              <c:f>scenarios!$A$79</c:f>
              <c:strCache>
                <c:ptCount val="1"/>
                <c:pt idx="0">
                  <c:v>Trona process</c:v>
                </c:pt>
              </c:strCache>
            </c:strRef>
          </c:tx>
          <c:spPr>
            <a:solidFill>
              <a:srgbClr val="00B0F0"/>
            </a:solidFill>
            <a:ln w="25400">
              <a:noFill/>
            </a:ln>
            <a:effectLst/>
          </c:spPr>
          <c:cat>
            <c:numRef>
              <c:f>scenarios!$G$76:$J$76</c:f>
              <c:numCache>
                <c:formatCode>General</c:formatCode>
                <c:ptCount val="4"/>
                <c:pt idx="0">
                  <c:v>2020</c:v>
                </c:pt>
                <c:pt idx="1">
                  <c:v>2025</c:v>
                </c:pt>
                <c:pt idx="2">
                  <c:v>2030</c:v>
                </c:pt>
                <c:pt idx="3">
                  <c:v>2035</c:v>
                </c:pt>
              </c:numCache>
            </c:numRef>
          </c:cat>
          <c:val>
            <c:numRef>
              <c:f>scenarios!$G$79:$J$79</c:f>
              <c:numCache>
                <c:formatCode>0%</c:formatCode>
                <c:ptCount val="4"/>
                <c:pt idx="0">
                  <c:v>0.26678765880217786</c:v>
                </c:pt>
                <c:pt idx="1">
                  <c:v>0.32423834694808784</c:v>
                </c:pt>
                <c:pt idx="2">
                  <c:v>0.35212241466369704</c:v>
                </c:pt>
                <c:pt idx="3">
                  <c:v>0.38240447521293092</c:v>
                </c:pt>
              </c:numCache>
            </c:numRef>
          </c:val>
          <c:extLst>
            <c:ext xmlns:c16="http://schemas.microsoft.com/office/drawing/2014/chart" uri="{C3380CC4-5D6E-409C-BE32-E72D297353CC}">
              <c16:uniqueId val="{0000000A-E6E2-46AD-8989-F6702FBE01AD}"/>
            </c:ext>
          </c:extLst>
        </c:ser>
        <c:ser>
          <c:idx val="0"/>
          <c:order val="1"/>
          <c:tx>
            <c:strRef>
              <c:f>scenarios!$A$77</c:f>
              <c:strCache>
                <c:ptCount val="1"/>
                <c:pt idx="0">
                  <c:v>Solvay process</c:v>
                </c:pt>
              </c:strCache>
            </c:strRef>
          </c:tx>
          <c:spPr>
            <a:solidFill>
              <a:srgbClr val="FFC000"/>
            </a:solidFill>
            <a:ln w="25400">
              <a:noFill/>
            </a:ln>
            <a:effectLst/>
          </c:spPr>
          <c:cat>
            <c:numRef>
              <c:f>scenarios!$G$76:$J$76</c:f>
              <c:numCache>
                <c:formatCode>General</c:formatCode>
                <c:ptCount val="4"/>
                <c:pt idx="0">
                  <c:v>2020</c:v>
                </c:pt>
                <c:pt idx="1">
                  <c:v>2025</c:v>
                </c:pt>
                <c:pt idx="2">
                  <c:v>2030</c:v>
                </c:pt>
                <c:pt idx="3">
                  <c:v>2035</c:v>
                </c:pt>
              </c:numCache>
            </c:numRef>
          </c:cat>
          <c:val>
            <c:numRef>
              <c:f>scenarios!$G$77:$J$77</c:f>
              <c:numCache>
                <c:formatCode>0%</c:formatCode>
                <c:ptCount val="4"/>
                <c:pt idx="0">
                  <c:v>0.73321234119782219</c:v>
                </c:pt>
                <c:pt idx="1">
                  <c:v>0.67576165305191216</c:v>
                </c:pt>
                <c:pt idx="2">
                  <c:v>0.58308982680267274</c:v>
                </c:pt>
                <c:pt idx="3">
                  <c:v>0.52495619606900867</c:v>
                </c:pt>
              </c:numCache>
            </c:numRef>
          </c:val>
          <c:extLst>
            <c:ext xmlns:c16="http://schemas.microsoft.com/office/drawing/2014/chart" uri="{C3380CC4-5D6E-409C-BE32-E72D297353CC}">
              <c16:uniqueId val="{00000008-E6E2-46AD-8989-F6702FBE01AD}"/>
            </c:ext>
          </c:extLst>
        </c:ser>
        <c:ser>
          <c:idx val="1"/>
          <c:order val="2"/>
          <c:tx>
            <c:strRef>
              <c:f>scenarios!$A$78</c:f>
              <c:strCache>
                <c:ptCount val="1"/>
                <c:pt idx="0">
                  <c:v>Solvay process with CCS</c:v>
                </c:pt>
              </c:strCache>
            </c:strRef>
          </c:tx>
          <c:spPr>
            <a:solidFill>
              <a:srgbClr val="C00000"/>
            </a:solidFill>
            <a:ln w="25400">
              <a:noFill/>
            </a:ln>
            <a:effectLst/>
          </c:spPr>
          <c:cat>
            <c:numRef>
              <c:f>scenarios!$G$76:$J$76</c:f>
              <c:numCache>
                <c:formatCode>General</c:formatCode>
                <c:ptCount val="4"/>
                <c:pt idx="0">
                  <c:v>2020</c:v>
                </c:pt>
                <c:pt idx="1">
                  <c:v>2025</c:v>
                </c:pt>
                <c:pt idx="2">
                  <c:v>2030</c:v>
                </c:pt>
                <c:pt idx="3">
                  <c:v>2035</c:v>
                </c:pt>
              </c:numCache>
            </c:numRef>
          </c:cat>
          <c:val>
            <c:numRef>
              <c:f>scenarios!$G$78:$J$78</c:f>
              <c:numCache>
                <c:formatCode>0%</c:formatCode>
                <c:ptCount val="4"/>
                <c:pt idx="0">
                  <c:v>0</c:v>
                </c:pt>
                <c:pt idx="1">
                  <c:v>0</c:v>
                </c:pt>
                <c:pt idx="2">
                  <c:v>6.4787758533630307E-2</c:v>
                </c:pt>
                <c:pt idx="3">
                  <c:v>9.2639328718060354E-2</c:v>
                </c:pt>
              </c:numCache>
            </c:numRef>
          </c:val>
          <c:extLst>
            <c:ext xmlns:c16="http://schemas.microsoft.com/office/drawing/2014/chart" uri="{C3380CC4-5D6E-409C-BE32-E72D297353CC}">
              <c16:uniqueId val="{00000009-E6E2-46AD-8989-F6702FBE01AD}"/>
            </c:ext>
          </c:extLst>
        </c:ser>
        <c:dLbls>
          <c:showLegendKey val="0"/>
          <c:showVal val="0"/>
          <c:showCatName val="0"/>
          <c:showSerName val="0"/>
          <c:showPercent val="0"/>
          <c:showBubbleSize val="0"/>
        </c:dLbls>
        <c:axId val="2098153919"/>
        <c:axId val="2098155359"/>
      </c:areaChart>
      <c:catAx>
        <c:axId val="209815391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98155359"/>
        <c:crosses val="autoZero"/>
        <c:auto val="1"/>
        <c:lblAlgn val="ctr"/>
        <c:lblOffset val="100"/>
        <c:noMultiLvlLbl val="0"/>
      </c:catAx>
      <c:valAx>
        <c:axId val="2098155359"/>
        <c:scaling>
          <c:orientation val="minMax"/>
          <c:max val="1"/>
        </c:scaling>
        <c:delete val="0"/>
        <c:axPos val="l"/>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solidFill>
                      <a:sysClr val="windowText" lastClr="000000"/>
                    </a:solidFill>
                    <a:latin typeface="Arial" panose="020B0604020202020204" pitchFamily="34" charset="0"/>
                    <a:cs typeface="Arial" panose="020B0604020202020204" pitchFamily="34" charset="0"/>
                  </a:rPr>
                  <a:t>Market share (%)</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1"/>
        <c:majorTickMark val="out"/>
        <c:minorTickMark val="none"/>
        <c:tickLblPos val="nextTo"/>
        <c:spPr>
          <a:noFill/>
          <a:ln>
            <a:solidFill>
              <a:sysClr val="windowText" lastClr="000000"/>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98153919"/>
        <c:crosses val="autoZero"/>
        <c:crossBetween val="midCat"/>
        <c:majorUnit val="0.2"/>
      </c:valAx>
      <c:spPr>
        <a:noFill/>
        <a:ln>
          <a:noFill/>
        </a:ln>
        <a:effectLst/>
      </c:spPr>
    </c:plotArea>
    <c:legend>
      <c:legendPos val="b"/>
      <c:layout>
        <c:manualLayout>
          <c:xMode val="edge"/>
          <c:yMode val="edge"/>
          <c:x val="0.30359581816398618"/>
          <c:y val="0.80785542790757714"/>
          <c:w val="0.5326084738589173"/>
          <c:h val="0.1484287250978873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171449</xdr:colOff>
      <xdr:row>1</xdr:row>
      <xdr:rowOff>614362</xdr:rowOff>
    </xdr:from>
    <xdr:to>
      <xdr:col>18</xdr:col>
      <xdr:colOff>95250</xdr:colOff>
      <xdr:row>20</xdr:row>
      <xdr:rowOff>57150</xdr:rowOff>
    </xdr:to>
    <xdr:graphicFrame macro="">
      <xdr:nvGraphicFramePr>
        <xdr:cNvPr id="2" name="Chart 1">
          <a:extLst>
            <a:ext uri="{FF2B5EF4-FFF2-40B4-BE49-F238E27FC236}">
              <a16:creationId xmlns:a16="http://schemas.microsoft.com/office/drawing/2014/main" id="{20532FE8-8816-686E-AF28-1490CBF053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238125</xdr:colOff>
      <xdr:row>21</xdr:row>
      <xdr:rowOff>138111</xdr:rowOff>
    </xdr:from>
    <xdr:to>
      <xdr:col>16</xdr:col>
      <xdr:colOff>542925</xdr:colOff>
      <xdr:row>38</xdr:row>
      <xdr:rowOff>161924</xdr:rowOff>
    </xdr:to>
    <xdr:graphicFrame macro="">
      <xdr:nvGraphicFramePr>
        <xdr:cNvPr id="3" name="Chart 2">
          <a:extLst>
            <a:ext uri="{FF2B5EF4-FFF2-40B4-BE49-F238E27FC236}">
              <a16:creationId xmlns:a16="http://schemas.microsoft.com/office/drawing/2014/main" id="{D91DE103-C0C3-452A-F3DF-0A39BA9FF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171451</xdr:colOff>
      <xdr:row>24</xdr:row>
      <xdr:rowOff>104774</xdr:rowOff>
    </xdr:from>
    <xdr:to>
      <xdr:col>7</xdr:col>
      <xdr:colOff>161925</xdr:colOff>
      <xdr:row>39</xdr:row>
      <xdr:rowOff>152399</xdr:rowOff>
    </xdr:to>
    <xdr:graphicFrame macro="">
      <xdr:nvGraphicFramePr>
        <xdr:cNvPr id="4" name="Chart 3">
          <a:extLst>
            <a:ext uri="{FF2B5EF4-FFF2-40B4-BE49-F238E27FC236}">
              <a16:creationId xmlns:a16="http://schemas.microsoft.com/office/drawing/2014/main" id="{A2AD22E0-6F84-4CAE-B772-77620D5A7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114300</xdr:colOff>
      <xdr:row>11</xdr:row>
      <xdr:rowOff>66675</xdr:rowOff>
    </xdr:from>
    <xdr:to>
      <xdr:col>17</xdr:col>
      <xdr:colOff>162781</xdr:colOff>
      <xdr:row>53</xdr:row>
      <xdr:rowOff>134476</xdr:rowOff>
    </xdr:to>
    <xdr:grpSp>
      <xdr:nvGrpSpPr>
        <xdr:cNvPr id="6" name="Group 5">
          <a:extLst>
            <a:ext uri="{FF2B5EF4-FFF2-40B4-BE49-F238E27FC236}">
              <a16:creationId xmlns:a16="http://schemas.microsoft.com/office/drawing/2014/main" id="{2BACB881-BA5E-A812-C3D9-9548A28D446F}"/>
            </a:ext>
          </a:extLst>
        </xdr:cNvPr>
        <xdr:cNvGrpSpPr/>
      </xdr:nvGrpSpPr>
      <xdr:grpSpPr>
        <a:xfrm>
          <a:off x="4800600" y="3457575"/>
          <a:ext cx="12497656" cy="8068801"/>
          <a:chOff x="0" y="2600325"/>
          <a:chExt cx="11164156" cy="8068801"/>
        </a:xfrm>
      </xdr:grpSpPr>
      <xdr:grpSp>
        <xdr:nvGrpSpPr>
          <xdr:cNvPr id="4" name="Group 3">
            <a:extLst>
              <a:ext uri="{FF2B5EF4-FFF2-40B4-BE49-F238E27FC236}">
                <a16:creationId xmlns:a16="http://schemas.microsoft.com/office/drawing/2014/main" id="{F555A76D-3F41-3C1F-69F5-22F55B2D08BC}"/>
              </a:ext>
            </a:extLst>
          </xdr:cNvPr>
          <xdr:cNvGrpSpPr/>
        </xdr:nvGrpSpPr>
        <xdr:grpSpPr>
          <a:xfrm>
            <a:off x="0" y="2600325"/>
            <a:ext cx="11164156" cy="8068801"/>
            <a:chOff x="2495550" y="0"/>
            <a:chExt cx="12335731" cy="8068801"/>
          </a:xfrm>
        </xdr:grpSpPr>
        <xdr:pic>
          <xdr:nvPicPr>
            <xdr:cNvPr id="2" name="Picture 1">
              <a:extLst>
                <a:ext uri="{FF2B5EF4-FFF2-40B4-BE49-F238E27FC236}">
                  <a16:creationId xmlns:a16="http://schemas.microsoft.com/office/drawing/2014/main" id="{0C051FD0-A466-DD88-8C7E-1B7B035AAA05}"/>
                </a:ext>
              </a:extLst>
            </xdr:cNvPr>
            <xdr:cNvPicPr>
              <a:picLocks noChangeAspect="1"/>
            </xdr:cNvPicPr>
          </xdr:nvPicPr>
          <xdr:blipFill>
            <a:blip xmlns:r="http://schemas.openxmlformats.org/officeDocument/2006/relationships" r:embed="rId1"/>
            <a:stretch>
              <a:fillRect/>
            </a:stretch>
          </xdr:blipFill>
          <xdr:spPr>
            <a:xfrm>
              <a:off x="2495550" y="0"/>
              <a:ext cx="6173061" cy="8068801"/>
            </a:xfrm>
            <a:prstGeom prst="rect">
              <a:avLst/>
            </a:prstGeom>
          </xdr:spPr>
        </xdr:pic>
        <xdr:pic>
          <xdr:nvPicPr>
            <xdr:cNvPr id="3" name="Picture 2">
              <a:extLst>
                <a:ext uri="{FF2B5EF4-FFF2-40B4-BE49-F238E27FC236}">
                  <a16:creationId xmlns:a16="http://schemas.microsoft.com/office/drawing/2014/main" id="{F1140A61-D831-3E41-6560-F06678DE3090}"/>
                </a:ext>
              </a:extLst>
            </xdr:cNvPr>
            <xdr:cNvPicPr>
              <a:picLocks noChangeAspect="1"/>
            </xdr:cNvPicPr>
          </xdr:nvPicPr>
          <xdr:blipFill>
            <a:blip xmlns:r="http://schemas.openxmlformats.org/officeDocument/2006/relationships" r:embed="rId2"/>
            <a:stretch>
              <a:fillRect/>
            </a:stretch>
          </xdr:blipFill>
          <xdr:spPr>
            <a:xfrm>
              <a:off x="8696325" y="2686050"/>
              <a:ext cx="6134956" cy="3286584"/>
            </a:xfrm>
            <a:prstGeom prst="rect">
              <a:avLst/>
            </a:prstGeom>
          </xdr:spPr>
        </xdr:pic>
      </xdr:grpSp>
      <xdr:sp macro="" textlink="">
        <xdr:nvSpPr>
          <xdr:cNvPr id="5" name="Rectangle 4">
            <a:extLst>
              <a:ext uri="{FF2B5EF4-FFF2-40B4-BE49-F238E27FC236}">
                <a16:creationId xmlns:a16="http://schemas.microsoft.com/office/drawing/2014/main" id="{C7C13667-DF3F-9CF3-5484-A101F305BA7F}"/>
              </a:ext>
            </a:extLst>
          </xdr:cNvPr>
          <xdr:cNvSpPr/>
        </xdr:nvSpPr>
        <xdr:spPr>
          <a:xfrm>
            <a:off x="581025" y="2781300"/>
            <a:ext cx="4695825" cy="5429250"/>
          </a:xfrm>
          <a:prstGeom prst="rect">
            <a:avLst/>
          </a:prstGeom>
          <a:noFill/>
          <a:ln w="381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www.usgs.gov/centers/national-minerals-information-center/soda-ash-statistics-and-information"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engineeringtoolbox.com/fuels-higher-calorific-values-d_169.html" TargetMode="External"/><Relationship Id="rId1" Type="http://schemas.openxmlformats.org/officeDocument/2006/relationships/hyperlink" Target="https://lcacommons.gov/lca-collaboration/National_Renewable_Energy_Laboratory/USLCI_Database_Public/dataset/PROCESS/0d95cc8b-a9a0-3630-a760-1ab4d88257d8?commitId=7d7143983462ce7c48bf8d64bccbe5cafda11c45?gladview=true"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hyperlink" Target="https://wesoda.com/documents/we-soda-ensuring-sustainable-soda-ash-supply-2022" TargetMode="External"/><Relationship Id="rId2" Type="http://schemas.openxmlformats.org/officeDocument/2006/relationships/hyperlink" Target="https://csgwest.org/wp-content/uploads/2023/10/Industrial-Water-Challenges-Trona-CGS-West-2023-09-14-Final.pdf" TargetMode="External"/><Relationship Id="rId1" Type="http://schemas.openxmlformats.org/officeDocument/2006/relationships/hyperlink" Target="https://lcacommons.gov/lca-collaboration/National_Renewable_Energy_Laboratory/USLCI_Database_Public/dataset/PROCESS/0d95cc8b-a9a0-3630-a760-1ab4d88257d8?commitId=7d7143983462ce7c48bf8d64bccbe5cafda11c45?gladview=true" TargetMode="External"/><Relationship Id="rId4" Type="http://schemas.openxmlformats.org/officeDocument/2006/relationships/hyperlink" Target="https://www.etisoda.com/wp-content/uploads/2022/12/Eti-Soda-S.R.-2021-EN-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21"/>
  <sheetViews>
    <sheetView tabSelected="1" topLeftCell="A10" zoomScaleNormal="100" workbookViewId="0">
      <selection activeCell="B41" sqref="B41"/>
    </sheetView>
  </sheetViews>
  <sheetFormatPr defaultRowHeight="12" x14ac:dyDescent="0.2"/>
  <cols>
    <col min="1" max="1" width="30.85546875" style="2" customWidth="1"/>
    <col min="2" max="2" width="7" style="5" customWidth="1"/>
    <col min="3" max="4" width="7.140625" style="5" customWidth="1"/>
    <col min="5" max="5" width="8.7109375" style="5" customWidth="1"/>
    <col min="6" max="6" width="7.140625" style="5" bestFit="1" customWidth="1"/>
    <col min="7" max="10" width="7.140625" style="8" customWidth="1"/>
    <col min="11" max="11" width="6.7109375" style="5" customWidth="1"/>
    <col min="12" max="12" width="5.7109375" style="34" customWidth="1"/>
    <col min="13" max="15" width="7.140625" style="34" bestFit="1" customWidth="1"/>
    <col min="16" max="16" width="9.140625" style="2"/>
    <col min="17" max="17" width="7.42578125" style="2" customWidth="1"/>
    <col min="18" max="18" width="8" style="2" customWidth="1"/>
    <col min="19" max="19" width="3.28515625" style="2" customWidth="1"/>
    <col min="20" max="20" width="7.42578125" style="2" bestFit="1" customWidth="1"/>
    <col min="21" max="23" width="4.42578125" style="2" bestFit="1" customWidth="1"/>
    <col min="24" max="24" width="2.7109375" style="2" customWidth="1"/>
    <col min="25" max="27" width="4.42578125" style="2" bestFit="1" customWidth="1"/>
    <col min="28" max="28" width="4.85546875" style="2" bestFit="1" customWidth="1"/>
    <col min="29" max="16384" width="9.140625" style="2"/>
  </cols>
  <sheetData>
    <row r="1" spans="1:15" x14ac:dyDescent="0.2">
      <c r="A1" s="1"/>
      <c r="G1" s="9" t="s">
        <v>5</v>
      </c>
      <c r="L1" s="43" t="s">
        <v>110</v>
      </c>
      <c r="N1" s="33"/>
    </row>
    <row r="2" spans="1:15" x14ac:dyDescent="0.2">
      <c r="A2" s="22" t="s">
        <v>72</v>
      </c>
      <c r="B2" s="23"/>
      <c r="C2" s="23"/>
      <c r="D2" s="24"/>
      <c r="E2" s="25"/>
      <c r="F2" s="25"/>
      <c r="G2" s="23"/>
      <c r="H2" s="23"/>
      <c r="I2" s="23"/>
      <c r="J2" s="23"/>
      <c r="K2" s="23"/>
      <c r="L2" s="23"/>
      <c r="M2" s="23"/>
      <c r="N2" s="23"/>
      <c r="O2" s="23"/>
    </row>
    <row r="3" spans="1:15" x14ac:dyDescent="0.2">
      <c r="A3" s="1" t="s">
        <v>101</v>
      </c>
      <c r="B3" s="7">
        <v>2025</v>
      </c>
      <c r="C3" s="7">
        <v>2035</v>
      </c>
      <c r="D3" s="7"/>
      <c r="E3" s="36" t="s">
        <v>159</v>
      </c>
      <c r="F3" s="36"/>
      <c r="G3" s="7">
        <v>2020</v>
      </c>
      <c r="H3" s="7">
        <v>2025</v>
      </c>
      <c r="I3" s="7">
        <v>2030</v>
      </c>
      <c r="J3" s="7">
        <v>2035</v>
      </c>
      <c r="L3" s="36">
        <v>2020</v>
      </c>
      <c r="M3" s="36">
        <v>2025</v>
      </c>
      <c r="N3" s="36">
        <v>2030</v>
      </c>
      <c r="O3" s="36">
        <v>2035</v>
      </c>
    </row>
    <row r="4" spans="1:15" x14ac:dyDescent="0.2">
      <c r="A4" s="4" t="s">
        <v>102</v>
      </c>
      <c r="B4" s="28">
        <f>lcis!C4</f>
        <v>1.8540000000000001</v>
      </c>
      <c r="C4" s="28">
        <f>lcis!D4</f>
        <v>1.8180000000000001</v>
      </c>
      <c r="D4" s="10">
        <f>(C4-B4)/B4</f>
        <v>-1.9417475728155355E-2</v>
      </c>
      <c r="E4" s="38">
        <f>lcis!E4</f>
        <v>1.8900000000000001</v>
      </c>
      <c r="F4" s="40">
        <f>(E4-B4)/B4</f>
        <v>1.9417475728155355E-2</v>
      </c>
      <c r="G4" s="28">
        <f>B4</f>
        <v>1.8540000000000001</v>
      </c>
      <c r="H4" s="28">
        <f>B4</f>
        <v>1.8540000000000001</v>
      </c>
      <c r="I4" s="28" cm="1">
        <f t="array" ref="I4">TREND($B4:$C4,$B$3:$C$3,I$3)</f>
        <v>1.8360000000000003</v>
      </c>
      <c r="J4" s="28" cm="1">
        <f t="array" ref="J4">TREND($B4:$C4,$B$3:$C$3,J$3)</f>
        <v>1.8180000000000005</v>
      </c>
      <c r="L4" s="37">
        <f t="shared" ref="L4:L6" si="0">1/(G4/$G4)</f>
        <v>1</v>
      </c>
      <c r="M4" s="37">
        <f t="shared" ref="M4:M6" si="1">1/(H4/$G4)</f>
        <v>1</v>
      </c>
      <c r="N4" s="37">
        <f t="shared" ref="N4:N6" si="2">1/(I4/$G4)</f>
        <v>1.0098039215686274</v>
      </c>
      <c r="O4" s="37">
        <f t="shared" ref="O4:O6" si="3">1/(J4/$G4)</f>
        <v>1.0198019801980196</v>
      </c>
    </row>
    <row r="5" spans="1:15" x14ac:dyDescent="0.2">
      <c r="A5" s="4" t="s">
        <v>105</v>
      </c>
      <c r="B5" s="28">
        <f>lcis!C5</f>
        <v>3.7</v>
      </c>
      <c r="C5" s="28">
        <f>lcis!D5</f>
        <v>3.2</v>
      </c>
      <c r="D5" s="10">
        <f>(C5-B5)/B5</f>
        <v>-0.13513513513513511</v>
      </c>
      <c r="E5" s="38">
        <f>lcis!E5</f>
        <v>4.2</v>
      </c>
      <c r="F5" s="40">
        <f t="shared" ref="F5:F8" si="4">(E5-B5)/B5</f>
        <v>0.13513513513513511</v>
      </c>
      <c r="G5" s="28">
        <f>B5</f>
        <v>3.7</v>
      </c>
      <c r="H5" s="28">
        <f t="shared" ref="H5:H8" si="5">B5</f>
        <v>3.7</v>
      </c>
      <c r="I5" s="28" cm="1">
        <f t="array" ref="I5">TREND($B5:$C5,$B$3:$C$3,I$3)</f>
        <v>3.4500000000000028</v>
      </c>
      <c r="J5" s="28" cm="1">
        <f t="array" ref="J5">TREND($B5:$C5,$B$3:$C$3,J$3)</f>
        <v>3.2000000000000028</v>
      </c>
      <c r="L5" s="88" t="s">
        <v>115</v>
      </c>
      <c r="M5" s="88"/>
      <c r="N5" s="88"/>
      <c r="O5" s="88"/>
    </row>
    <row r="6" spans="1:15" x14ac:dyDescent="0.2">
      <c r="A6" s="4" t="s">
        <v>106</v>
      </c>
      <c r="B6" s="28">
        <f>lcis!C6</f>
        <v>5.5E-2</v>
      </c>
      <c r="C6" s="28">
        <f>lcis!D6</f>
        <v>0.03</v>
      </c>
      <c r="D6" s="10">
        <f>(C6-B6)/B6</f>
        <v>-0.45454545454545459</v>
      </c>
      <c r="E6" s="38">
        <f>lcis!E6</f>
        <v>0.08</v>
      </c>
      <c r="F6" s="40">
        <f t="shared" si="4"/>
        <v>0.45454545454545459</v>
      </c>
      <c r="G6" s="28">
        <f>B6</f>
        <v>5.5E-2</v>
      </c>
      <c r="H6" s="28">
        <f t="shared" si="5"/>
        <v>5.5E-2</v>
      </c>
      <c r="I6" s="28" cm="1">
        <f t="array" ref="I6">TREND($B6:$C6,$B$3:$C$3,I$3)</f>
        <v>4.2500000000000426E-2</v>
      </c>
      <c r="J6" s="28" cm="1">
        <f t="array" ref="J6">TREND($B6:$C6,$B$3:$C$3,J$3)</f>
        <v>3.0000000000000249E-2</v>
      </c>
      <c r="L6" s="37">
        <f t="shared" si="0"/>
        <v>1</v>
      </c>
      <c r="M6" s="37">
        <f t="shared" si="1"/>
        <v>1</v>
      </c>
      <c r="N6" s="37">
        <f t="shared" si="2"/>
        <v>1.2941176470588105</v>
      </c>
      <c r="O6" s="37">
        <f t="shared" si="3"/>
        <v>1.8333333333333182</v>
      </c>
    </row>
    <row r="7" spans="1:15" x14ac:dyDescent="0.2">
      <c r="A7" s="4" t="s">
        <v>114</v>
      </c>
      <c r="B7" s="28">
        <f>lcis!C18+lcis!C19+lcis!C20</f>
        <v>0.21787777777777778</v>
      </c>
      <c r="C7" s="28">
        <f>lcis!D18+lcis!D19+lcis!D20</f>
        <v>0.19093333333333334</v>
      </c>
      <c r="D7" s="10">
        <f>(C7-B7)/B7</f>
        <v>-0.12366770360548725</v>
      </c>
      <c r="E7" s="38">
        <f>lcis!E18+lcis!E19+lcis!C20</f>
        <v>0.26232222222222223</v>
      </c>
      <c r="F7" s="40">
        <f t="shared" si="4"/>
        <v>0.20398796471008215</v>
      </c>
      <c r="G7" s="28">
        <f>B7</f>
        <v>0.21787777777777778</v>
      </c>
      <c r="H7" s="28">
        <f t="shared" si="5"/>
        <v>0.21787777777777778</v>
      </c>
      <c r="I7" s="28" cm="1">
        <f t="array" ref="I7">TREND($B7:$C7,$B$3:$C$3,I$3)</f>
        <v>0.20440555555555573</v>
      </c>
      <c r="J7" s="28" cm="1">
        <f t="array" ref="J7">TREND($B7:$C7,$B$3:$C$3,J$3)</f>
        <v>0.19093333333333362</v>
      </c>
      <c r="L7" s="37">
        <f t="shared" ref="L7" si="6">1/(G7/$G7)</f>
        <v>1</v>
      </c>
      <c r="M7" s="37">
        <f t="shared" ref="M7" si="7">1/(H7/$G7)</f>
        <v>1</v>
      </c>
      <c r="N7" s="37">
        <f t="shared" ref="N7" si="8">1/(I7/$G7)</f>
        <v>1.0659092762210194</v>
      </c>
      <c r="O7" s="37">
        <f t="shared" ref="O7" si="9">1/(J7/$G7)</f>
        <v>1.1411196461824937</v>
      </c>
    </row>
    <row r="8" spans="1:15" x14ac:dyDescent="0.2">
      <c r="A8" s="4" t="s">
        <v>213</v>
      </c>
      <c r="B8" s="28">
        <f>lcis!C10</f>
        <v>5.5620000000000003E-2</v>
      </c>
      <c r="C8" s="28">
        <f>lcis!D10</f>
        <v>1.8180000000000002E-2</v>
      </c>
      <c r="D8" s="10">
        <f>(C8-B8)/B8</f>
        <v>-0.67313915857605178</v>
      </c>
      <c r="E8" s="38">
        <f>lcis!E10</f>
        <v>9.4500000000000015E-2</v>
      </c>
      <c r="F8" s="40">
        <f t="shared" si="4"/>
        <v>0.69902912621359237</v>
      </c>
      <c r="G8" s="28">
        <f>B8</f>
        <v>5.5620000000000003E-2</v>
      </c>
      <c r="H8" s="28">
        <f t="shared" si="5"/>
        <v>5.5620000000000003E-2</v>
      </c>
      <c r="I8" s="28" cm="1">
        <f t="array" ref="I8">TREND($B8:$C8,$B$3:$C$3,I$3)</f>
        <v>3.6900000000000155E-2</v>
      </c>
      <c r="J8" s="28" cm="1">
        <f t="array" ref="J8">TREND($B8:$C8,$B$3:$C$3,J$3)</f>
        <v>1.8180000000000085E-2</v>
      </c>
      <c r="L8" s="37">
        <f t="shared" ref="L8" si="10">1/(G8/$G8)</f>
        <v>1</v>
      </c>
      <c r="M8" s="37">
        <f t="shared" ref="M8" si="11">1/(H8/$G8)</f>
        <v>1</v>
      </c>
      <c r="N8" s="37">
        <f t="shared" ref="N8" si="12">1/(I8/$G8)</f>
        <v>1.5073170731707255</v>
      </c>
      <c r="O8" s="37">
        <f t="shared" ref="O8" si="13">1/(J8/$G8)</f>
        <v>3.0594059405940452</v>
      </c>
    </row>
    <row r="9" spans="1:15" x14ac:dyDescent="0.2">
      <c r="A9" s="4"/>
      <c r="B9" s="2"/>
      <c r="C9" s="2"/>
      <c r="D9" s="7"/>
      <c r="G9" s="2"/>
      <c r="H9" s="2"/>
      <c r="I9" s="2"/>
      <c r="J9" s="2"/>
    </row>
    <row r="10" spans="1:15" x14ac:dyDescent="0.2">
      <c r="A10" s="30" t="s">
        <v>107</v>
      </c>
      <c r="B10" s="31">
        <v>2025</v>
      </c>
      <c r="C10" s="31">
        <v>2050</v>
      </c>
      <c r="D10" s="31"/>
      <c r="E10" s="31"/>
      <c r="F10" s="31"/>
      <c r="G10" s="31">
        <v>2020</v>
      </c>
      <c r="H10" s="31">
        <v>2025</v>
      </c>
      <c r="I10" s="31">
        <v>2030</v>
      </c>
      <c r="J10" s="31">
        <v>2035</v>
      </c>
    </row>
    <row r="11" spans="1:15" x14ac:dyDescent="0.2">
      <c r="A11" s="32" t="s">
        <v>12</v>
      </c>
      <c r="B11" s="10">
        <v>0.53453274218574998</v>
      </c>
      <c r="C11" s="10">
        <v>0</v>
      </c>
      <c r="D11" s="10"/>
      <c r="E11" s="8"/>
      <c r="F11" s="8"/>
      <c r="G11" s="10">
        <f>B11</f>
        <v>0.53453274218574998</v>
      </c>
      <c r="H11" s="10">
        <f>B11</f>
        <v>0.53453274218574998</v>
      </c>
      <c r="I11" s="10" cm="1">
        <f t="array" ref="I11">TREND($B11:$C11,$B$10:$C$10,I$10)</f>
        <v>0.42762619374859412</v>
      </c>
      <c r="J11" s="10" cm="1">
        <f t="array" ref="J11">TREND($B11:$C11,$B$10:$C$10,J$10)</f>
        <v>0.32071964531144204</v>
      </c>
    </row>
    <row r="12" spans="1:15" x14ac:dyDescent="0.2">
      <c r="A12" s="32" t="s">
        <v>8</v>
      </c>
      <c r="B12" s="10">
        <v>0.34007164312275301</v>
      </c>
      <c r="C12" s="10">
        <v>0.6</v>
      </c>
      <c r="D12" s="10"/>
      <c r="E12" s="8"/>
      <c r="F12" s="8"/>
      <c r="G12" s="10">
        <f t="shared" ref="G12:G15" si="14">B12</f>
        <v>0.34007164312275301</v>
      </c>
      <c r="H12" s="10">
        <f t="shared" ref="H12:H15" si="15">B12</f>
        <v>0.34007164312275301</v>
      </c>
      <c r="I12" s="10" cm="1">
        <f t="array" ref="I12">TREND($B12:$C12,$B$10:$C$10,I$10)</f>
        <v>0.39205731449819936</v>
      </c>
      <c r="J12" s="10" cm="1">
        <f t="array" ref="J12">TREND($B12:$C12,$B$10:$C$10,J$10)</f>
        <v>0.44404298587365076</v>
      </c>
    </row>
    <row r="13" spans="1:15" x14ac:dyDescent="0.2">
      <c r="A13" s="32" t="s">
        <v>9</v>
      </c>
      <c r="B13" s="10">
        <v>7.5598381126354391E-2</v>
      </c>
      <c r="C13" s="10">
        <v>0.08</v>
      </c>
      <c r="D13" s="10"/>
      <c r="E13" s="8"/>
      <c r="F13" s="8"/>
      <c r="G13" s="10">
        <f t="shared" si="14"/>
        <v>7.5598381126354391E-2</v>
      </c>
      <c r="H13" s="10">
        <f t="shared" si="15"/>
        <v>7.5598381126354391E-2</v>
      </c>
      <c r="I13" s="10" cm="1">
        <f t="array" ref="I13">TREND($B13:$C13,$B$10:$C$10,I$10)</f>
        <v>7.6478704901083494E-2</v>
      </c>
      <c r="J13" s="10" cm="1">
        <f t="array" ref="J13">TREND($B13:$C13,$B$10:$C$10,J$10)</f>
        <v>7.7359028675812624E-2</v>
      </c>
    </row>
    <row r="14" spans="1:15" x14ac:dyDescent="0.2">
      <c r="A14" s="32" t="s">
        <v>10</v>
      </c>
      <c r="B14" s="10">
        <v>2.8105013799709502E-2</v>
      </c>
      <c r="C14" s="10">
        <v>0</v>
      </c>
      <c r="D14" s="8"/>
      <c r="E14" s="8"/>
      <c r="F14" s="8"/>
      <c r="G14" s="10">
        <f t="shared" si="14"/>
        <v>2.8105013799709502E-2</v>
      </c>
      <c r="H14" s="10">
        <f t="shared" si="15"/>
        <v>2.8105013799709502E-2</v>
      </c>
      <c r="I14" s="10" cm="1">
        <f t="array" ref="I14">TREND($B14:$C14,$B$10:$C$10,I$10)</f>
        <v>2.2484011039767715E-2</v>
      </c>
      <c r="J14" s="10" cm="1">
        <f t="array" ref="J14">TREND($B14:$C14,$B$10:$C$10,J$10)</f>
        <v>1.6863008279826008E-2</v>
      </c>
    </row>
    <row r="15" spans="1:15" x14ac:dyDescent="0.2">
      <c r="A15" s="32" t="s">
        <v>11</v>
      </c>
      <c r="B15" s="10">
        <v>2.16922197654323E-2</v>
      </c>
      <c r="C15" s="10">
        <v>0.32</v>
      </c>
      <c r="D15" s="8"/>
      <c r="E15" s="8"/>
      <c r="F15" s="8"/>
      <c r="G15" s="10">
        <f t="shared" si="14"/>
        <v>2.16922197654323E-2</v>
      </c>
      <c r="H15" s="10">
        <f t="shared" si="15"/>
        <v>2.16922197654323E-2</v>
      </c>
      <c r="I15" s="10" cm="1">
        <f t="array" ref="I15">TREND($B15:$C15,$B$10:$C$10,I$10)</f>
        <v>8.1353775812349483E-2</v>
      </c>
      <c r="J15" s="10" cm="1">
        <f t="array" ref="J15">TREND($B15:$C15,$B$10:$C$10,J$10)</f>
        <v>0.14101533185926129</v>
      </c>
    </row>
    <row r="16" spans="1:15" x14ac:dyDescent="0.2">
      <c r="A16" s="4"/>
      <c r="B16" s="2"/>
      <c r="C16" s="2"/>
      <c r="G16" s="2"/>
      <c r="H16" s="2"/>
      <c r="I16" s="2"/>
      <c r="J16" s="2"/>
    </row>
    <row r="17" spans="1:15" x14ac:dyDescent="0.2">
      <c r="A17" s="1" t="s">
        <v>109</v>
      </c>
      <c r="B17" s="7">
        <v>2025</v>
      </c>
      <c r="C17" s="7">
        <v>2035</v>
      </c>
      <c r="D17" s="7"/>
      <c r="E17" s="36" t="s">
        <v>159</v>
      </c>
      <c r="F17" s="7"/>
      <c r="G17" s="7">
        <v>2020</v>
      </c>
      <c r="H17" s="7">
        <v>2025</v>
      </c>
      <c r="I17" s="7">
        <v>2030</v>
      </c>
      <c r="J17" s="7">
        <v>2035</v>
      </c>
      <c r="L17" s="36">
        <v>2020</v>
      </c>
      <c r="M17" s="36">
        <v>2025</v>
      </c>
      <c r="N17" s="36">
        <v>2030</v>
      </c>
      <c r="O17" s="36">
        <v>2035</v>
      </c>
    </row>
    <row r="18" spans="1:15" x14ac:dyDescent="0.2">
      <c r="A18" s="4" t="s">
        <v>12</v>
      </c>
      <c r="B18" s="28">
        <f>B$5*B11</f>
        <v>1.9777711460872751</v>
      </c>
      <c r="C18" s="28">
        <f>C$5*J11</f>
        <v>1.0263028649966146</v>
      </c>
      <c r="D18" s="6"/>
      <c r="E18" s="38">
        <f>E$5*J11</f>
        <v>1.3470225103080566</v>
      </c>
      <c r="G18" s="28">
        <f>B18</f>
        <v>1.9777711460872751</v>
      </c>
      <c r="H18" s="28">
        <f>B18</f>
        <v>1.9777711460872751</v>
      </c>
      <c r="I18" s="28" cm="1">
        <f t="array" ref="I18">TREND($B18:$C18,$B$17:$C$17,I$17)</f>
        <v>1.5020370055419505</v>
      </c>
      <c r="J18" s="28" cm="1">
        <f t="array" ref="J18">TREND($B18:$C18,$B$17:$C$17,J$17)</f>
        <v>1.0263028649966373</v>
      </c>
      <c r="L18" s="37">
        <f t="shared" ref="L18:L20" si="16">1/(G18/$G18)</f>
        <v>1</v>
      </c>
      <c r="M18" s="37">
        <f t="shared" ref="M18:M20" si="17">1/(H18/$G18)</f>
        <v>1</v>
      </c>
      <c r="N18" s="37">
        <f t="shared" ref="N18:N20" si="18">1/(I18/$G18)</f>
        <v>1.316725978647693</v>
      </c>
      <c r="O18" s="37">
        <f t="shared" ref="O18:O20" si="19">1/(J18/$G18)</f>
        <v>1.9270833333333386</v>
      </c>
    </row>
    <row r="19" spans="1:15" x14ac:dyDescent="0.2">
      <c r="A19" s="4" t="s">
        <v>8</v>
      </c>
      <c r="B19" s="28">
        <f t="shared" ref="B19" si="20">B$5*B12</f>
        <v>1.2582650795541861</v>
      </c>
      <c r="C19" s="28">
        <f t="shared" ref="C19:C22" si="21">C$5*J12</f>
        <v>1.4209375547956826</v>
      </c>
      <c r="D19" s="6"/>
      <c r="E19" s="38">
        <f t="shared" ref="E19:E22" si="22">E$5*J12</f>
        <v>1.8649805406693334</v>
      </c>
      <c r="G19" s="28">
        <f t="shared" ref="G19:G22" si="23">B19</f>
        <v>1.2582650795541861</v>
      </c>
      <c r="H19" s="28">
        <f t="shared" ref="H19:H22" si="24">B19</f>
        <v>1.2582650795541861</v>
      </c>
      <c r="I19" s="28" cm="1">
        <f t="array" ref="I19">TREND($B19:$C19,$B$17:$C$17,I$17)</f>
        <v>1.3396013171749352</v>
      </c>
      <c r="J19" s="28" cm="1">
        <f t="array" ref="J19">TREND($B19:$C19,$B$17:$C$17,J$17)</f>
        <v>1.4209375547956817</v>
      </c>
      <c r="L19" s="37">
        <f t="shared" si="16"/>
        <v>1</v>
      </c>
      <c r="M19" s="37">
        <f t="shared" si="17"/>
        <v>1</v>
      </c>
      <c r="N19" s="37">
        <f t="shared" si="18"/>
        <v>0.93928325048807959</v>
      </c>
      <c r="O19" s="37">
        <f t="shared" si="19"/>
        <v>0.88551750589427802</v>
      </c>
    </row>
    <row r="20" spans="1:15" x14ac:dyDescent="0.2">
      <c r="A20" s="4" t="s">
        <v>9</v>
      </c>
      <c r="B20" s="28">
        <f t="shared" ref="B20" si="25">B$5*B13</f>
        <v>0.27971401016751124</v>
      </c>
      <c r="C20" s="28">
        <f t="shared" si="21"/>
        <v>0.24754889176260042</v>
      </c>
      <c r="D20" s="6"/>
      <c r="E20" s="38">
        <f t="shared" si="22"/>
        <v>0.32490792043841304</v>
      </c>
      <c r="G20" s="28">
        <f t="shared" si="23"/>
        <v>0.27971401016751124</v>
      </c>
      <c r="H20" s="28">
        <f t="shared" si="24"/>
        <v>0.27971401016751124</v>
      </c>
      <c r="I20" s="28" cm="1">
        <f t="array" ref="I20">TREND($B20:$C20,$B$17:$C$17,I$17)</f>
        <v>0.26363145096505569</v>
      </c>
      <c r="J20" s="28" cm="1">
        <f t="array" ref="J20">TREND($B20:$C20,$B$17:$C$17,J$17)</f>
        <v>0.24754889176259987</v>
      </c>
      <c r="L20" s="37">
        <f t="shared" si="16"/>
        <v>1</v>
      </c>
      <c r="M20" s="37">
        <f t="shared" si="17"/>
        <v>1</v>
      </c>
      <c r="N20" s="37">
        <f t="shared" si="18"/>
        <v>1.0610039475319935</v>
      </c>
      <c r="O20" s="37">
        <f t="shared" si="19"/>
        <v>1.1299344067989521</v>
      </c>
    </row>
    <row r="21" spans="1:15" x14ac:dyDescent="0.2">
      <c r="A21" s="4" t="s">
        <v>10</v>
      </c>
      <c r="B21" s="28">
        <f t="shared" ref="B21" si="26">B$5*B14</f>
        <v>0.10398855105892515</v>
      </c>
      <c r="C21" s="28">
        <f t="shared" si="21"/>
        <v>5.3961626495443227E-2</v>
      </c>
      <c r="E21" s="38">
        <f t="shared" si="22"/>
        <v>7.0824634775269235E-2</v>
      </c>
      <c r="G21" s="28">
        <f t="shared" si="23"/>
        <v>0.10398855105892515</v>
      </c>
      <c r="H21" s="28">
        <f t="shared" si="24"/>
        <v>0.10398855105892515</v>
      </c>
      <c r="I21" s="28" cm="1">
        <f t="array" ref="I21">TREND($B21:$C21,$B$17:$C$17,I$17)</f>
        <v>7.897508877718451E-2</v>
      </c>
      <c r="J21" s="28" cm="1">
        <f t="array" ref="J21">TREND($B21:$C21,$B$17:$C$17,J$17)</f>
        <v>5.3961626495443227E-2</v>
      </c>
      <c r="L21" s="37">
        <f t="shared" ref="L21:L22" si="27">1/(G21/$G21)</f>
        <v>1</v>
      </c>
      <c r="M21" s="37">
        <f t="shared" ref="M21:M22" si="28">1/(H21/$G21)</f>
        <v>1</v>
      </c>
      <c r="N21" s="37">
        <f t="shared" ref="N21:N22" si="29">1/(I21/$G21)</f>
        <v>1.3167259786476733</v>
      </c>
      <c r="O21" s="37">
        <f t="shared" ref="O21:O22" si="30">1/(J21/$G21)</f>
        <v>1.9270833333332982</v>
      </c>
    </row>
    <row r="22" spans="1:15" x14ac:dyDescent="0.2">
      <c r="A22" s="4" t="s">
        <v>11</v>
      </c>
      <c r="B22" s="28">
        <f t="shared" ref="B22" si="31">B$5*B15</f>
        <v>8.026121313209951E-2</v>
      </c>
      <c r="C22" s="28">
        <f t="shared" si="21"/>
        <v>0.45124906194963615</v>
      </c>
      <c r="E22" s="38">
        <f t="shared" si="22"/>
        <v>0.5922643938088975</v>
      </c>
      <c r="G22" s="28">
        <f t="shared" si="23"/>
        <v>8.026121313209951E-2</v>
      </c>
      <c r="H22" s="28">
        <f t="shared" si="24"/>
        <v>8.026121313209951E-2</v>
      </c>
      <c r="I22" s="28" cm="1">
        <f t="array" ref="I22">TREND($B22:$C22,$B$17:$C$17,I$17)</f>
        <v>0.26575513754086444</v>
      </c>
      <c r="J22" s="28" cm="1">
        <f t="array" ref="J22">TREND($B22:$C22,$B$17:$C$17,J$17)</f>
        <v>0.45124906194963899</v>
      </c>
      <c r="L22" s="37">
        <f t="shared" si="27"/>
        <v>1</v>
      </c>
      <c r="M22" s="37">
        <f t="shared" si="28"/>
        <v>1</v>
      </c>
      <c r="N22" s="37">
        <f t="shared" si="29"/>
        <v>0.3020118966458662</v>
      </c>
      <c r="O22" s="37">
        <f t="shared" si="30"/>
        <v>0.17786455396788603</v>
      </c>
    </row>
    <row r="23" spans="1:15" x14ac:dyDescent="0.2">
      <c r="A23" s="4"/>
      <c r="B23" s="2"/>
      <c r="C23" s="2"/>
      <c r="G23" s="2"/>
      <c r="H23" s="2"/>
      <c r="I23" s="2"/>
      <c r="J23" s="2"/>
    </row>
    <row r="24" spans="1:15" x14ac:dyDescent="0.2">
      <c r="A24" s="1" t="s">
        <v>30</v>
      </c>
      <c r="B24" s="7">
        <v>2020</v>
      </c>
      <c r="C24" s="7">
        <v>2030</v>
      </c>
      <c r="D24" s="7">
        <v>2035</v>
      </c>
      <c r="E24" s="7"/>
      <c r="F24" s="7"/>
      <c r="G24" s="7">
        <v>2020</v>
      </c>
      <c r="H24" s="7">
        <v>2025</v>
      </c>
      <c r="I24" s="7">
        <v>2030</v>
      </c>
      <c r="J24" s="7">
        <v>2035</v>
      </c>
    </row>
    <row r="25" spans="1:15" x14ac:dyDescent="0.2">
      <c r="A25" s="4" t="s">
        <v>31</v>
      </c>
      <c r="B25" s="6">
        <v>1</v>
      </c>
      <c r="C25" s="6">
        <v>0.9</v>
      </c>
      <c r="D25" s="6">
        <v>0.85</v>
      </c>
      <c r="G25" s="6">
        <f>B25</f>
        <v>1</v>
      </c>
      <c r="H25" s="6">
        <f t="shared" ref="H25:J26" si="32">B25</f>
        <v>1</v>
      </c>
      <c r="I25" s="6">
        <f t="shared" si="32"/>
        <v>0.9</v>
      </c>
      <c r="J25" s="6">
        <f t="shared" si="32"/>
        <v>0.85</v>
      </c>
    </row>
    <row r="26" spans="1:15" x14ac:dyDescent="0.2">
      <c r="A26" s="4" t="s">
        <v>32</v>
      </c>
      <c r="B26" s="6">
        <v>0</v>
      </c>
      <c r="C26" s="6">
        <v>0.1</v>
      </c>
      <c r="D26" s="6">
        <v>0.15</v>
      </c>
      <c r="G26" s="6">
        <f>B26</f>
        <v>0</v>
      </c>
      <c r="H26" s="6">
        <f t="shared" si="32"/>
        <v>0</v>
      </c>
      <c r="I26" s="6">
        <f t="shared" si="32"/>
        <v>0.1</v>
      </c>
      <c r="J26" s="6">
        <f t="shared" si="32"/>
        <v>0.15</v>
      </c>
    </row>
    <row r="28" spans="1:15" x14ac:dyDescent="0.2">
      <c r="A28" s="22" t="s">
        <v>74</v>
      </c>
      <c r="B28" s="25"/>
      <c r="C28" s="25"/>
      <c r="D28" s="24"/>
      <c r="E28" s="25"/>
      <c r="F28" s="25"/>
      <c r="G28" s="26"/>
      <c r="H28" s="26"/>
      <c r="I28" s="26"/>
      <c r="J28" s="26"/>
      <c r="K28" s="26"/>
      <c r="L28" s="35"/>
      <c r="M28" s="35"/>
      <c r="N28" s="35"/>
      <c r="O28" s="35"/>
    </row>
    <row r="29" spans="1:15" x14ac:dyDescent="0.2">
      <c r="A29" s="1" t="s">
        <v>101</v>
      </c>
      <c r="B29" s="7">
        <v>2025</v>
      </c>
      <c r="C29" s="7">
        <v>2035</v>
      </c>
      <c r="D29" s="7"/>
      <c r="E29" s="36" t="s">
        <v>159</v>
      </c>
      <c r="F29" s="7"/>
      <c r="G29" s="7">
        <v>2020</v>
      </c>
      <c r="H29" s="7">
        <v>2025</v>
      </c>
      <c r="I29" s="7">
        <v>2030</v>
      </c>
      <c r="J29" s="7">
        <v>2035</v>
      </c>
      <c r="L29" s="36">
        <v>2020</v>
      </c>
      <c r="M29" s="36">
        <v>2025</v>
      </c>
      <c r="N29" s="36">
        <v>2030</v>
      </c>
      <c r="O29" s="36">
        <v>2035</v>
      </c>
    </row>
    <row r="30" spans="1:15" x14ac:dyDescent="0.2">
      <c r="A30" s="4" t="s">
        <v>102</v>
      </c>
      <c r="B30" s="28">
        <f>lcis!C49</f>
        <v>1.3</v>
      </c>
      <c r="C30" s="28">
        <f>lcis!D49</f>
        <v>1.1000000000000001</v>
      </c>
      <c r="D30" s="10">
        <f>(C30-B30)/B30</f>
        <v>-0.1538461538461538</v>
      </c>
      <c r="E30" s="38">
        <f>lcis!E49</f>
        <v>1.5</v>
      </c>
      <c r="F30" s="40">
        <f>(E30-B30)/B30</f>
        <v>0.1538461538461538</v>
      </c>
      <c r="G30" s="28">
        <f>B30</f>
        <v>1.3</v>
      </c>
      <c r="H30" s="28">
        <f>B30</f>
        <v>1.3</v>
      </c>
      <c r="I30" s="28" cm="1">
        <f t="array" ref="I30">TREND($B30:$C30,$B$29:$C$29,I$29)</f>
        <v>1.2000000000000028</v>
      </c>
      <c r="J30" s="28" cm="1">
        <f t="array" ref="J30">TREND($B30:$C30,$B$29:$C$29,J$29)</f>
        <v>1.1000000000000014</v>
      </c>
      <c r="L30" s="37">
        <f>G30/$G30</f>
        <v>1</v>
      </c>
      <c r="M30" s="37">
        <f>1/(H30/$G30)</f>
        <v>1</v>
      </c>
      <c r="N30" s="37">
        <f t="shared" ref="N30:O30" si="33">1/(I30/$G30)</f>
        <v>1.0833333333333308</v>
      </c>
      <c r="O30" s="37">
        <f t="shared" si="33"/>
        <v>1.1818181818181803</v>
      </c>
    </row>
    <row r="31" spans="1:15" x14ac:dyDescent="0.2">
      <c r="A31" s="4" t="s">
        <v>103</v>
      </c>
      <c r="B31" s="28">
        <f>lcis!C50</f>
        <v>1.6</v>
      </c>
      <c r="C31" s="28">
        <f>lcis!D50</f>
        <v>1.5</v>
      </c>
      <c r="D31" s="10">
        <f t="shared" ref="D31:D42" si="34">(C31-B31)/B31</f>
        <v>-6.2500000000000056E-2</v>
      </c>
      <c r="E31" s="38">
        <f>lcis!E50</f>
        <v>1.7</v>
      </c>
      <c r="F31" s="40">
        <f t="shared" ref="F31:F42" si="35">(E31-B31)/B31</f>
        <v>6.2499999999999917E-2</v>
      </c>
      <c r="G31" s="28">
        <f t="shared" ref="G31:G36" si="36">B31</f>
        <v>1.6</v>
      </c>
      <c r="H31" s="28">
        <f t="shared" ref="H31:H38" si="37">B31</f>
        <v>1.6</v>
      </c>
      <c r="I31" s="28" cm="1">
        <f t="array" ref="I31">TREND($B31:$C31,$B$29:$C$29,I$29)</f>
        <v>1.5500000000000007</v>
      </c>
      <c r="J31" s="28" cm="1">
        <f t="array" ref="J31">TREND($B31:$C31,$B$29:$C$29,J$29)</f>
        <v>1.5</v>
      </c>
      <c r="L31" s="37">
        <f t="shared" ref="L31:L36" si="38">G31/$G31</f>
        <v>1</v>
      </c>
      <c r="M31" s="37">
        <f t="shared" ref="M31:M36" si="39">1/(H31/$G31)</f>
        <v>1</v>
      </c>
      <c r="N31" s="37">
        <f t="shared" ref="N31:N36" si="40">1/(I31/$G31)</f>
        <v>1.0322580645161286</v>
      </c>
      <c r="O31" s="37">
        <f t="shared" ref="O31:O36" si="41">1/(J31/$G31)</f>
        <v>1.0666666666666667</v>
      </c>
    </row>
    <row r="32" spans="1:15" x14ac:dyDescent="0.2">
      <c r="A32" s="4" t="s">
        <v>43</v>
      </c>
      <c r="B32" s="28">
        <f>lcis!C51</f>
        <v>1.4500000000000001E-3</v>
      </c>
      <c r="C32" s="28">
        <f>lcis!D51</f>
        <v>8.0000000000000004E-4</v>
      </c>
      <c r="D32" s="10">
        <f t="shared" ref="D32" si="42">(C32-B32)/B32</f>
        <v>-0.44827586206896552</v>
      </c>
      <c r="E32" s="38">
        <f>lcis!E51</f>
        <v>2.1000000000000003E-3</v>
      </c>
      <c r="F32" s="40">
        <f t="shared" ref="F32" si="43">(E32-B32)/B32</f>
        <v>0.44827586206896564</v>
      </c>
      <c r="G32" s="28">
        <f t="shared" ref="G32" si="44">B32</f>
        <v>1.4500000000000001E-3</v>
      </c>
      <c r="H32" s="28">
        <f t="shared" ref="H32" si="45">B32</f>
        <v>1.4500000000000001E-3</v>
      </c>
      <c r="I32" s="28" cm="1">
        <f t="array" ref="I32">TREND($B32:$C32,$B$29:$C$29,I$29)</f>
        <v>1.1249999999999871E-3</v>
      </c>
      <c r="J32" s="28" cm="1">
        <f t="array" ref="J32">TREND($B32:$C32,$B$29:$C$29,J$29)</f>
        <v>7.9999999999999516E-4</v>
      </c>
      <c r="L32" s="37">
        <f t="shared" ref="L32" si="46">G32/$G32</f>
        <v>1</v>
      </c>
      <c r="M32" s="37">
        <f t="shared" ref="M32" si="47">1/(H32/$G32)</f>
        <v>1</v>
      </c>
      <c r="N32" s="37">
        <f t="shared" ref="N32" si="48">1/(I32/$G32)</f>
        <v>1.2888888888889038</v>
      </c>
      <c r="O32" s="37">
        <f t="shared" ref="O32" si="49">1/(J32/$G32)</f>
        <v>1.8125000000000109</v>
      </c>
    </row>
    <row r="33" spans="1:20" x14ac:dyDescent="0.2">
      <c r="A33" s="4" t="s">
        <v>104</v>
      </c>
      <c r="B33" s="28">
        <f>lcis!C52</f>
        <v>2.3148148148148149</v>
      </c>
      <c r="C33" s="28">
        <f>lcis!D52</f>
        <v>2.0370370370370372</v>
      </c>
      <c r="D33" s="10">
        <f t="shared" si="34"/>
        <v>-0.11999999999999995</v>
      </c>
      <c r="E33" s="38">
        <f>lcis!E52</f>
        <v>2.5925925925925921</v>
      </c>
      <c r="F33" s="40">
        <f t="shared" si="35"/>
        <v>0.11999999999999976</v>
      </c>
      <c r="G33" s="28">
        <f t="shared" si="36"/>
        <v>2.3148148148148149</v>
      </c>
      <c r="H33" s="28">
        <f t="shared" si="37"/>
        <v>2.3148148148148149</v>
      </c>
      <c r="I33" s="28" cm="1">
        <f t="array" ref="I33">TREND($B33:$C33,$B$29:$C$29,I$29)</f>
        <v>2.1759259259259238</v>
      </c>
      <c r="J33" s="28" cm="1">
        <f t="array" ref="J33">TREND($B33:$C33,$B$29:$C$29,J$29)</f>
        <v>2.0370370370370381</v>
      </c>
      <c r="L33" s="37">
        <f t="shared" si="38"/>
        <v>1</v>
      </c>
      <c r="M33" s="37">
        <f t="shared" si="39"/>
        <v>1</v>
      </c>
      <c r="N33" s="37">
        <f t="shared" si="40"/>
        <v>1.0638297872340436</v>
      </c>
      <c r="O33" s="37">
        <f t="shared" si="41"/>
        <v>1.1363636363636358</v>
      </c>
    </row>
    <row r="34" spans="1:20" x14ac:dyDescent="0.2">
      <c r="A34" s="4" t="s">
        <v>105</v>
      </c>
      <c r="B34" s="28">
        <f>lcis!C53</f>
        <v>7.6388888888888884</v>
      </c>
      <c r="C34" s="28">
        <f>lcis!D53</f>
        <v>6.1111111111111107</v>
      </c>
      <c r="D34" s="10">
        <f t="shared" si="34"/>
        <v>-0.2</v>
      </c>
      <c r="E34" s="38">
        <f>lcis!E53</f>
        <v>9.1666666666666661</v>
      </c>
      <c r="F34" s="40">
        <f>(E34-B34)/B34</f>
        <v>0.2</v>
      </c>
      <c r="G34" s="28">
        <f t="shared" si="36"/>
        <v>7.6388888888888884</v>
      </c>
      <c r="H34" s="28">
        <f t="shared" si="37"/>
        <v>7.6388888888888884</v>
      </c>
      <c r="I34" s="28" cm="1">
        <f t="array" ref="I34">TREND($B34:$C34,$B$29:$C$29,I$29)</f>
        <v>6.875</v>
      </c>
      <c r="J34" s="28" cm="1">
        <f t="array" ref="J34">TREND($B34:$C34,$B$29:$C$29,J$29)</f>
        <v>6.1111111111110858</v>
      </c>
      <c r="L34" s="88" t="s">
        <v>115</v>
      </c>
      <c r="M34" s="88"/>
      <c r="N34" s="88"/>
      <c r="O34" s="88"/>
    </row>
    <row r="35" spans="1:20" x14ac:dyDescent="0.2">
      <c r="A35" s="4" t="s">
        <v>222</v>
      </c>
      <c r="B35" s="28">
        <f>lcis!C77+lcis!C78</f>
        <v>8.5973888888888883</v>
      </c>
      <c r="C35" s="28">
        <f>lcis!D77+lcis!D78</f>
        <v>7.0696111111111106</v>
      </c>
      <c r="D35" s="10">
        <f t="shared" si="34"/>
        <v>-0.17770253242263478</v>
      </c>
      <c r="E35" s="38">
        <f>lcis!E77+lcis!E78</f>
        <v>10.316866666666666</v>
      </c>
      <c r="F35" s="40">
        <f>(E35-B35)/B35</f>
        <v>0.2</v>
      </c>
      <c r="G35" s="28">
        <f t="shared" ref="G35" si="50">B35</f>
        <v>8.5973888888888883</v>
      </c>
      <c r="H35" s="28">
        <f t="shared" ref="H35" si="51">B35</f>
        <v>8.5973888888888883</v>
      </c>
      <c r="I35" s="28" cm="1">
        <f t="array" ref="I35">TREND($B35:$C35,$B$29:$C$29,I$29)</f>
        <v>7.833500000000015</v>
      </c>
      <c r="J35" s="28" cm="1">
        <f t="array" ref="J35">TREND($B35:$C35,$B$29:$C$29,J$29)</f>
        <v>7.0696111111111009</v>
      </c>
      <c r="L35" s="88" t="s">
        <v>115</v>
      </c>
      <c r="M35" s="88"/>
      <c r="N35" s="88"/>
      <c r="O35" s="88"/>
      <c r="R35" s="100">
        <f>1/0.666666666666666</f>
        <v>1.5000000000000016</v>
      </c>
    </row>
    <row r="36" spans="1:20" x14ac:dyDescent="0.2">
      <c r="A36" s="4" t="s">
        <v>106</v>
      </c>
      <c r="B36" s="28">
        <f>lcis!C54</f>
        <v>0.09</v>
      </c>
      <c r="C36" s="28">
        <f>lcis!D54</f>
        <v>0.05</v>
      </c>
      <c r="D36" s="10">
        <f t="shared" si="34"/>
        <v>-0.44444444444444442</v>
      </c>
      <c r="E36" s="38">
        <f>lcis!E54</f>
        <v>0.13</v>
      </c>
      <c r="F36" s="40">
        <f t="shared" si="35"/>
        <v>0.44444444444444453</v>
      </c>
      <c r="G36" s="28">
        <f t="shared" si="36"/>
        <v>0.09</v>
      </c>
      <c r="H36" s="28">
        <f t="shared" si="37"/>
        <v>0.09</v>
      </c>
      <c r="I36" s="28" cm="1">
        <f t="array" ref="I36">TREND($B36:$C36,$B$29:$C$29,I$29)</f>
        <v>7.0000000000000284E-2</v>
      </c>
      <c r="J36" s="28" cm="1">
        <f t="array" ref="J36">TREND($B36:$C36,$B$29:$C$29,J$29)</f>
        <v>5.0000000000000711E-2</v>
      </c>
      <c r="L36" s="37">
        <f t="shared" si="38"/>
        <v>1</v>
      </c>
      <c r="M36" s="37">
        <f t="shared" si="39"/>
        <v>1</v>
      </c>
      <c r="N36" s="37">
        <f t="shared" si="40"/>
        <v>1.2857142857142805</v>
      </c>
      <c r="O36" s="37">
        <f t="shared" si="41"/>
        <v>1.7999999999999743</v>
      </c>
    </row>
    <row r="37" spans="1:20" x14ac:dyDescent="0.2">
      <c r="A37" s="4" t="s">
        <v>114</v>
      </c>
      <c r="B37" s="28">
        <f>lcis!C79+lcis!C80</f>
        <v>0.11924999999999999</v>
      </c>
      <c r="C37" s="28">
        <f>lcis!D79+lcis!D80</f>
        <v>7.9250000000000001E-2</v>
      </c>
      <c r="D37" s="10">
        <f t="shared" ref="D37" si="52">(C37-B37)/B37</f>
        <v>-0.33542976939203351</v>
      </c>
      <c r="E37" s="38">
        <f>lcis!E55</f>
        <v>0.35</v>
      </c>
      <c r="F37" s="40">
        <f t="shared" ref="F37" si="53">(E37-B37)/B37</f>
        <v>1.9350104821802934</v>
      </c>
      <c r="G37" s="28">
        <f t="shared" ref="G37" si="54">B37</f>
        <v>0.11924999999999999</v>
      </c>
      <c r="H37" s="28">
        <f t="shared" ref="H37" si="55">B37</f>
        <v>0.11924999999999999</v>
      </c>
      <c r="I37" s="28" cm="1">
        <f t="array" ref="I37">TREND($B37:$C37,$B$29:$C$29,I$29)</f>
        <v>9.9249999999999616E-2</v>
      </c>
      <c r="J37" s="28" cm="1">
        <f t="array" ref="J37">TREND($B37:$C37,$B$29:$C$29,J$29)</f>
        <v>7.9250000000000043E-2</v>
      </c>
      <c r="L37" s="37">
        <f t="shared" ref="L37" si="56">G37/$G37</f>
        <v>1</v>
      </c>
      <c r="M37" s="37">
        <f t="shared" ref="M37" si="57">1/(H37/$G37)</f>
        <v>1</v>
      </c>
      <c r="N37" s="37">
        <f t="shared" ref="N37" si="58">1/(I37/$G37)</f>
        <v>1.201511335012599</v>
      </c>
      <c r="O37" s="37">
        <f t="shared" ref="O37" si="59">1/(J37/$G37)</f>
        <v>1.5047318611987373</v>
      </c>
      <c r="R37" s="2">
        <f>Q39*R35</f>
        <v>1.2500000000000007E-3</v>
      </c>
    </row>
    <row r="38" spans="1:20" x14ac:dyDescent="0.2">
      <c r="A38" s="4" t="s">
        <v>213</v>
      </c>
      <c r="B38" s="28">
        <f>-(lcis!C55+lcis!C56)</f>
        <v>-0.26500000000000001</v>
      </c>
      <c r="C38" s="28">
        <f>-(lcis!D55+lcis!D56)</f>
        <v>-6.0000000000000005E-2</v>
      </c>
      <c r="D38" s="10">
        <f t="shared" si="34"/>
        <v>-0.77358490566037741</v>
      </c>
      <c r="E38" s="38">
        <f>-(lcis!E55+lcis!E56)</f>
        <v>-0.47</v>
      </c>
      <c r="F38" s="40">
        <f t="shared" si="35"/>
        <v>0.77358490566037719</v>
      </c>
      <c r="G38" s="28">
        <f t="shared" ref="G38" si="60">B38</f>
        <v>-0.26500000000000001</v>
      </c>
      <c r="H38" s="28">
        <f t="shared" si="37"/>
        <v>-0.26500000000000001</v>
      </c>
      <c r="I38" s="28" cm="1">
        <f t="array" ref="I38">TREND($B38:$C38,$B$29:$C$29,I$29)</f>
        <v>-0.16250000000000142</v>
      </c>
      <c r="J38" s="28" cm="1">
        <f t="array" ref="J38">TREND($B38:$C38,$B$29:$C$29,J$29)</f>
        <v>-6.0000000000002274E-2</v>
      </c>
      <c r="L38" s="37">
        <f t="shared" ref="L38" si="61">G38/$G38</f>
        <v>1</v>
      </c>
      <c r="M38" s="37">
        <f t="shared" ref="M38" si="62">1/(H38/$G38)</f>
        <v>1</v>
      </c>
      <c r="N38" s="37">
        <f t="shared" ref="N38" si="63">1/(I38/$G38)</f>
        <v>1.6307692307692168</v>
      </c>
      <c r="O38" s="37">
        <f t="shared" ref="O38" si="64">1/(J38/$G38)</f>
        <v>4.4166666666664991</v>
      </c>
      <c r="R38" s="101"/>
    </row>
    <row r="39" spans="1:20" x14ac:dyDescent="0.2">
      <c r="A39" s="4" t="s">
        <v>209</v>
      </c>
      <c r="B39" s="28">
        <f>lcis!C64</f>
        <v>0.83333333333333315</v>
      </c>
      <c r="C39" s="28">
        <f>lcis!D64</f>
        <v>0.55555555555555547</v>
      </c>
      <c r="D39" s="10">
        <f t="shared" si="34"/>
        <v>-0.33333333333333331</v>
      </c>
      <c r="E39" s="38">
        <f>lcis!E64</f>
        <v>1.1111111111111109</v>
      </c>
      <c r="F39" s="40">
        <f t="shared" si="35"/>
        <v>0.33333333333333343</v>
      </c>
      <c r="G39" s="28">
        <f t="shared" ref="G39:G42" si="65">B39</f>
        <v>0.83333333333333315</v>
      </c>
      <c r="H39" s="28">
        <f t="shared" ref="H39:H42" si="66">B39</f>
        <v>0.83333333333333315</v>
      </c>
      <c r="I39" s="28" cm="1">
        <f t="array" ref="I39">TREND($B39:$C39,$B$29:$C$29,I$29)</f>
        <v>0.69444444444444287</v>
      </c>
      <c r="J39" s="28" cm="1">
        <f t="array" ref="J39">TREND($B39:$C39,$B$29:$C$29,J$29)</f>
        <v>0.55555555555555713</v>
      </c>
      <c r="L39" s="37">
        <f t="shared" ref="L39:L42" si="67">G39/$G39</f>
        <v>1</v>
      </c>
      <c r="M39" s="37">
        <f t="shared" ref="M39:M42" si="68">1/(H39/$G39)</f>
        <v>1</v>
      </c>
      <c r="N39" s="37">
        <f t="shared" ref="N39:N42" si="69">1/(I39/$G39)</f>
        <v>1.2000000000000024</v>
      </c>
      <c r="O39" s="37">
        <f t="shared" ref="O39:O42" si="70">1/(J39/$G39)</f>
        <v>1.4999999999999953</v>
      </c>
      <c r="Q39" s="2">
        <v>8.3333333333333295E-4</v>
      </c>
      <c r="R39" s="2">
        <v>2.4710819167609102E-4</v>
      </c>
      <c r="T39" s="102">
        <f>1/(R39/Q39)</f>
        <v>3.3723420000000037</v>
      </c>
    </row>
    <row r="40" spans="1:20" x14ac:dyDescent="0.2">
      <c r="A40" s="4" t="s">
        <v>51</v>
      </c>
      <c r="B40" s="28">
        <f>lcis!C65</f>
        <v>69.444444444444443</v>
      </c>
      <c r="C40" s="28">
        <f>lcis!D65</f>
        <v>46.296296296296291</v>
      </c>
      <c r="D40" s="10">
        <f t="shared" si="34"/>
        <v>-0.33333333333333343</v>
      </c>
      <c r="E40" s="38">
        <f>lcis!E65</f>
        <v>92.592592592592581</v>
      </c>
      <c r="F40" s="40">
        <f t="shared" si="35"/>
        <v>0.3333333333333332</v>
      </c>
      <c r="G40" s="28">
        <f t="shared" si="65"/>
        <v>69.444444444444443</v>
      </c>
      <c r="H40" s="28">
        <f t="shared" si="66"/>
        <v>69.444444444444443</v>
      </c>
      <c r="I40" s="28" cm="1">
        <f t="array" ref="I40">TREND($B40:$C40,$B$29:$C$29,I$29)</f>
        <v>57.870370370370438</v>
      </c>
      <c r="J40" s="28" cm="1">
        <f t="array" ref="J40">TREND($B40:$C40,$B$29:$C$29,J$29)</f>
        <v>46.296296296295623</v>
      </c>
      <c r="L40" s="37">
        <f t="shared" si="67"/>
        <v>1</v>
      </c>
      <c r="M40" s="37">
        <f t="shared" si="68"/>
        <v>1</v>
      </c>
      <c r="N40" s="37">
        <f t="shared" si="69"/>
        <v>1.1999999999999984</v>
      </c>
      <c r="O40" s="37">
        <f t="shared" si="70"/>
        <v>1.5000000000000218</v>
      </c>
      <c r="Q40" s="2">
        <v>6.9444444444444406E-2</v>
      </c>
      <c r="R40" s="2">
        <v>2.05923493063409E-2</v>
      </c>
      <c r="T40" s="102">
        <f>1/(R40/Q40)</f>
        <v>3.3723420000000059</v>
      </c>
    </row>
    <row r="41" spans="1:20" x14ac:dyDescent="0.2">
      <c r="A41" s="4" t="s">
        <v>53</v>
      </c>
      <c r="B41" s="28">
        <f>lcis!C67</f>
        <v>64.685416666666669</v>
      </c>
      <c r="C41" s="28">
        <f>lcis!D67</f>
        <v>42.663425925925921</v>
      </c>
      <c r="D41" s="10">
        <f t="shared" si="34"/>
        <v>-0.34044753633146185</v>
      </c>
      <c r="E41" s="38">
        <f>lcis!E67</f>
        <v>86.707407407407388</v>
      </c>
      <c r="F41" s="40">
        <f t="shared" si="35"/>
        <v>0.34044753633146141</v>
      </c>
      <c r="G41" s="28">
        <f t="shared" si="65"/>
        <v>64.685416666666669</v>
      </c>
      <c r="H41" s="28">
        <f t="shared" si="66"/>
        <v>64.685416666666669</v>
      </c>
      <c r="I41" s="28" cm="1">
        <f t="array" ref="I41">TREND($B41:$C41,$B$29:$C$29,I$29)</f>
        <v>53.674421296296714</v>
      </c>
      <c r="J41" s="28" cm="1">
        <f t="array" ref="J41">TREND($B41:$C41,$B$29:$C$29,J$29)</f>
        <v>42.663425925926276</v>
      </c>
      <c r="L41" s="37">
        <f t="shared" si="67"/>
        <v>1</v>
      </c>
      <c r="M41" s="37">
        <f t="shared" si="68"/>
        <v>1</v>
      </c>
      <c r="N41" s="37">
        <f t="shared" si="69"/>
        <v>1.2051441842211286</v>
      </c>
      <c r="O41" s="37">
        <f t="shared" si="70"/>
        <v>1.5161796143370139</v>
      </c>
      <c r="Q41" s="2">
        <v>3.60162037037037E-3</v>
      </c>
      <c r="R41" s="2">
        <v>1.6019818142867901E-3</v>
      </c>
      <c r="T41" s="101">
        <f>1/(R41/Q41)</f>
        <v>2.2482280000000054</v>
      </c>
    </row>
    <row r="42" spans="1:20" x14ac:dyDescent="0.2">
      <c r="A42" s="4" t="s">
        <v>173</v>
      </c>
      <c r="B42" s="28">
        <f>lcis!C68</f>
        <v>3.6016203703703704</v>
      </c>
      <c r="C42" s="28">
        <f>lcis!D68</f>
        <v>2.4291666666666663</v>
      </c>
      <c r="D42" s="10">
        <f t="shared" si="34"/>
        <v>-0.32553506009383648</v>
      </c>
      <c r="E42" s="38">
        <f>lcis!E68</f>
        <v>4.7740740740740737</v>
      </c>
      <c r="F42" s="40">
        <f t="shared" si="35"/>
        <v>0.32553506009383626</v>
      </c>
      <c r="G42" s="28">
        <f t="shared" si="65"/>
        <v>3.6016203703703704</v>
      </c>
      <c r="H42" s="28">
        <f t="shared" si="66"/>
        <v>3.6016203703703704</v>
      </c>
      <c r="I42" s="28" cm="1">
        <f t="array" ref="I42">TREND($B42:$C42,$B$29:$C$29,I$29)</f>
        <v>3.0153935185185219</v>
      </c>
      <c r="J42" s="28" cm="1">
        <f t="array" ref="J42">TREND($B42:$C42,$B$29:$C$29,J$29)</f>
        <v>2.4291666666666458</v>
      </c>
      <c r="L42" s="37">
        <f t="shared" si="67"/>
        <v>1</v>
      </c>
      <c r="M42" s="37">
        <f t="shared" si="68"/>
        <v>1</v>
      </c>
      <c r="N42" s="37">
        <f t="shared" si="69"/>
        <v>1.1944113921621298</v>
      </c>
      <c r="O42" s="37">
        <f t="shared" si="70"/>
        <v>1.4826567562416746</v>
      </c>
      <c r="Q42" s="2">
        <v>6.4685416666666704E-2</v>
      </c>
      <c r="R42" s="2">
        <v>2.87717334125661E-2</v>
      </c>
      <c r="T42" s="101">
        <f>1/(R42/Q42)</f>
        <v>2.2482280000000014</v>
      </c>
    </row>
    <row r="43" spans="1:20" x14ac:dyDescent="0.2">
      <c r="A43" s="4"/>
      <c r="B43" s="28"/>
      <c r="C43" s="28"/>
      <c r="D43" s="10"/>
      <c r="E43" s="38"/>
      <c r="F43" s="40"/>
      <c r="G43" s="28"/>
      <c r="H43" s="28"/>
      <c r="I43" s="28"/>
      <c r="J43" s="28"/>
      <c r="L43" s="37"/>
      <c r="M43" s="37"/>
      <c r="N43" s="37"/>
      <c r="O43" s="37"/>
    </row>
    <row r="44" spans="1:20" x14ac:dyDescent="0.2">
      <c r="A44" s="30" t="s">
        <v>107</v>
      </c>
      <c r="B44" s="31">
        <v>2025</v>
      </c>
      <c r="C44" s="31">
        <v>2035</v>
      </c>
      <c r="D44" s="31"/>
      <c r="F44" s="31"/>
      <c r="G44" s="31">
        <v>2020</v>
      </c>
      <c r="H44" s="31">
        <v>2025</v>
      </c>
      <c r="I44" s="31">
        <v>2030</v>
      </c>
      <c r="J44" s="31">
        <v>2035</v>
      </c>
      <c r="L44" s="39"/>
      <c r="M44" s="39"/>
      <c r="N44" s="39"/>
      <c r="O44" s="39"/>
    </row>
    <row r="45" spans="1:20" x14ac:dyDescent="0.2">
      <c r="A45" s="32" t="s">
        <v>12</v>
      </c>
      <c r="B45" s="10">
        <v>0.6</v>
      </c>
      <c r="C45" s="10">
        <v>0.05</v>
      </c>
      <c r="D45" s="10"/>
      <c r="F45" s="8"/>
      <c r="G45" s="10">
        <f>B45</f>
        <v>0.6</v>
      </c>
      <c r="H45" s="10">
        <f>B45</f>
        <v>0.6</v>
      </c>
      <c r="I45" s="10" cm="1">
        <f t="array" ref="I45">TREND($B45:$C45,$B$44:$C$44,I$76)</f>
        <v>0.32500000000000284</v>
      </c>
      <c r="J45" s="10" cm="1">
        <f t="array" ref="J45">TREND($B45:$C45,$B$44:$C$44,J$76)</f>
        <v>5.0000000000011369E-2</v>
      </c>
      <c r="L45" s="38"/>
      <c r="M45" s="40"/>
      <c r="N45" s="40"/>
      <c r="O45" s="40"/>
    </row>
    <row r="46" spans="1:20" x14ac:dyDescent="0.2">
      <c r="A46" s="32" t="s">
        <v>8</v>
      </c>
      <c r="B46" s="10">
        <v>0.39</v>
      </c>
      <c r="C46" s="10">
        <v>0.75</v>
      </c>
      <c r="D46" s="10"/>
      <c r="F46" s="8"/>
      <c r="G46" s="10">
        <f t="shared" ref="G46:G47" si="71">B46</f>
        <v>0.39</v>
      </c>
      <c r="H46" s="10">
        <f t="shared" ref="H46:H47" si="72">B46</f>
        <v>0.39</v>
      </c>
      <c r="I46" s="10" cm="1">
        <f t="array" ref="I46">TREND($B46:$C46,$B$44:$C$44,I$76)</f>
        <v>0.56999999999999318</v>
      </c>
      <c r="J46" s="10" cm="1">
        <f t="array" ref="J46">TREND($B46:$C46,$B$44:$C$44,J$76)</f>
        <v>0.74999999999998579</v>
      </c>
      <c r="L46" s="40"/>
      <c r="M46" s="40"/>
      <c r="N46" s="40"/>
      <c r="O46" s="40"/>
    </row>
    <row r="47" spans="1:20" x14ac:dyDescent="0.2">
      <c r="A47" s="32" t="s">
        <v>11</v>
      </c>
      <c r="B47" s="10">
        <v>0.01</v>
      </c>
      <c r="C47" s="10">
        <v>0.2</v>
      </c>
      <c r="D47" s="8"/>
      <c r="F47" s="8"/>
      <c r="G47" s="10">
        <f t="shared" si="71"/>
        <v>0.01</v>
      </c>
      <c r="H47" s="10">
        <f t="shared" si="72"/>
        <v>0.01</v>
      </c>
      <c r="I47" s="10" cm="1">
        <f t="array" ref="I47">TREND($B47:$C47,$B$44:$C$44,I$76)</f>
        <v>0.10499999999999687</v>
      </c>
      <c r="J47" s="10" cm="1">
        <f t="array" ref="J47">TREND($B47:$C47,$B$44:$C$44,J$76)</f>
        <v>0.19999999999999574</v>
      </c>
      <c r="L47" s="40"/>
      <c r="M47" s="40"/>
      <c r="N47" s="40"/>
      <c r="O47" s="40"/>
    </row>
    <row r="48" spans="1:20" x14ac:dyDescent="0.2">
      <c r="E48" s="28"/>
      <c r="L48" s="41"/>
      <c r="M48" s="41"/>
      <c r="N48" s="41"/>
      <c r="O48" s="41"/>
      <c r="Q48" s="2" t="s">
        <v>223</v>
      </c>
    </row>
    <row r="49" spans="1:28" x14ac:dyDescent="0.2">
      <c r="A49" s="1" t="s">
        <v>108</v>
      </c>
      <c r="B49" s="7">
        <v>2025</v>
      </c>
      <c r="C49" s="7">
        <v>2035</v>
      </c>
      <c r="D49" s="7"/>
      <c r="E49" s="36" t="s">
        <v>159</v>
      </c>
      <c r="F49" s="7"/>
      <c r="G49" s="7">
        <v>2020</v>
      </c>
      <c r="H49" s="7">
        <v>2025</v>
      </c>
      <c r="I49" s="7">
        <v>2030</v>
      </c>
      <c r="J49" s="7">
        <v>2035</v>
      </c>
      <c r="L49" s="36">
        <v>2020</v>
      </c>
      <c r="M49" s="36">
        <v>2025</v>
      </c>
      <c r="N49" s="36">
        <v>2030</v>
      </c>
      <c r="O49" s="36">
        <v>2035</v>
      </c>
      <c r="Q49" s="7">
        <v>2025</v>
      </c>
      <c r="R49" s="7">
        <v>2035</v>
      </c>
      <c r="T49" s="7">
        <v>2020</v>
      </c>
      <c r="U49" s="7">
        <v>2025</v>
      </c>
      <c r="V49" s="7">
        <v>2030</v>
      </c>
      <c r="W49" s="7">
        <v>2035</v>
      </c>
      <c r="Y49" s="36">
        <v>2020</v>
      </c>
      <c r="Z49" s="36">
        <v>2025</v>
      </c>
      <c r="AA49" s="36">
        <v>2030</v>
      </c>
      <c r="AB49" s="36">
        <v>2035</v>
      </c>
    </row>
    <row r="50" spans="1:28" x14ac:dyDescent="0.2">
      <c r="A50" s="4" t="s">
        <v>12</v>
      </c>
      <c r="B50" s="29">
        <f>B$34*B45</f>
        <v>4.583333333333333</v>
      </c>
      <c r="C50" s="29">
        <f>C$34*C45</f>
        <v>0.30555555555555558</v>
      </c>
      <c r="D50" s="6"/>
      <c r="E50" s="38">
        <f>E$34*J45</f>
        <v>0.45833333333343751</v>
      </c>
      <c r="F50" s="38">
        <f>E$35*J45</f>
        <v>0.51584333333345056</v>
      </c>
      <c r="G50" s="29">
        <f>G$34*G45</f>
        <v>4.583333333333333</v>
      </c>
      <c r="H50" s="29">
        <f>B50</f>
        <v>4.583333333333333</v>
      </c>
      <c r="I50" s="29" cm="1">
        <f t="array" ref="I50">TREND($B50:$C50,$B$44:$C$44,I$76)</f>
        <v>2.4444444444444571</v>
      </c>
      <c r="J50" s="29" cm="1">
        <f t="array" ref="J50">TREND($B50:$C50,$B$44:$C$44,J$76)</f>
        <v>0.30555555555554292</v>
      </c>
      <c r="L50" s="37">
        <f>G50/$G50</f>
        <v>1</v>
      </c>
      <c r="M50" s="37">
        <f>1/(H50/$G50)</f>
        <v>1</v>
      </c>
      <c r="N50" s="37">
        <f t="shared" ref="N50:O52" si="73">1/(I50/$G50)</f>
        <v>1.8749999999999902</v>
      </c>
      <c r="O50" s="37">
        <f t="shared" si="73"/>
        <v>15.000000000000618</v>
      </c>
      <c r="Q50" s="29">
        <f>B$35*B45</f>
        <v>5.158433333333333</v>
      </c>
      <c r="R50" s="29">
        <f>C$35*C45</f>
        <v>0.35348055555555558</v>
      </c>
      <c r="T50" s="29">
        <f>G$35*G45</f>
        <v>5.158433333333333</v>
      </c>
      <c r="U50" s="29">
        <f t="shared" ref="U50:W52" si="74">H$35*H45</f>
        <v>5.158433333333333</v>
      </c>
      <c r="V50" s="29">
        <f t="shared" si="74"/>
        <v>2.5458875000000272</v>
      </c>
      <c r="W50" s="29">
        <f t="shared" si="74"/>
        <v>0.3534805555556354</v>
      </c>
      <c r="Y50" s="37">
        <f>1/(T50/$T50)</f>
        <v>1</v>
      </c>
      <c r="Z50" s="37">
        <f t="shared" ref="Z50:AB52" si="75">1/(U50/$T50)</f>
        <v>1</v>
      </c>
      <c r="AA50" s="37">
        <f t="shared" si="75"/>
        <v>2.0261827489758595</v>
      </c>
      <c r="AB50" s="37">
        <f t="shared" si="75"/>
        <v>14.593259098014039</v>
      </c>
    </row>
    <row r="51" spans="1:28" x14ac:dyDescent="0.2">
      <c r="A51" s="4" t="s">
        <v>8</v>
      </c>
      <c r="B51" s="29">
        <f>B$34*B46</f>
        <v>2.9791666666666665</v>
      </c>
      <c r="C51" s="29">
        <f>C$34*C46</f>
        <v>4.583333333333333</v>
      </c>
      <c r="D51" s="6"/>
      <c r="E51" s="38">
        <f t="shared" ref="E51:F52" si="76">E$34*J46</f>
        <v>6.8749999999998694</v>
      </c>
      <c r="F51" s="38">
        <f t="shared" ref="F51:F52" si="77">E$35*J46</f>
        <v>7.7376499999998529</v>
      </c>
      <c r="G51" s="29">
        <f t="shared" ref="G51:G52" si="78">B51</f>
        <v>2.9791666666666665</v>
      </c>
      <c r="H51" s="29">
        <f t="shared" ref="H51:H52" si="79">B51</f>
        <v>2.9791666666666665</v>
      </c>
      <c r="I51" s="29" cm="1">
        <f t="array" ref="I51">TREND($B51:$C51,$B$44:$C$44,I$76)</f>
        <v>3.78125</v>
      </c>
      <c r="J51" s="29" cm="1">
        <f t="array" ref="J51">TREND($B51:$C51,$B$44:$C$44,J$76)</f>
        <v>4.5833333333333144</v>
      </c>
      <c r="L51" s="37">
        <f t="shared" ref="L51:L52" si="80">G51/$G51</f>
        <v>1</v>
      </c>
      <c r="M51" s="37">
        <f t="shared" ref="M51:M52" si="81">1/(H51/$G51)</f>
        <v>1</v>
      </c>
      <c r="N51" s="37">
        <f t="shared" si="73"/>
        <v>0.78787878787878773</v>
      </c>
      <c r="O51" s="37">
        <f t="shared" si="73"/>
        <v>0.65000000000000269</v>
      </c>
      <c r="Q51" s="29">
        <f t="shared" ref="Q51:R52" si="82">B$35*B46</f>
        <v>3.3529816666666665</v>
      </c>
      <c r="R51" s="29">
        <f t="shared" si="82"/>
        <v>5.3022083333333327</v>
      </c>
      <c r="T51" s="29">
        <f t="shared" ref="T51:T52" si="83">G$35*G46</f>
        <v>3.3529816666666665</v>
      </c>
      <c r="U51" s="29">
        <f t="shared" si="74"/>
        <v>3.3529816666666665</v>
      </c>
      <c r="V51" s="29">
        <f t="shared" si="74"/>
        <v>4.4650949999999554</v>
      </c>
      <c r="W51" s="29">
        <f t="shared" si="74"/>
        <v>5.3022083333332253</v>
      </c>
      <c r="Y51" s="37">
        <f t="shared" ref="Y51:Y52" si="84">1/(T51/$T51)</f>
        <v>1</v>
      </c>
      <c r="Z51" s="37">
        <f t="shared" si="75"/>
        <v>1</v>
      </c>
      <c r="AA51" s="37">
        <f t="shared" si="75"/>
        <v>0.75093176442308618</v>
      </c>
      <c r="AB51" s="37">
        <f t="shared" si="75"/>
        <v>0.63237456091409738</v>
      </c>
    </row>
    <row r="52" spans="1:28" x14ac:dyDescent="0.2">
      <c r="A52" s="4" t="s">
        <v>11</v>
      </c>
      <c r="B52" s="29">
        <f>B$34*B47</f>
        <v>7.6388888888888881E-2</v>
      </c>
      <c r="C52" s="29">
        <f t="shared" ref="C52" si="85">C$34*C47</f>
        <v>1.2222222222222223</v>
      </c>
      <c r="E52" s="38">
        <f t="shared" si="76"/>
        <v>1.8333333333332942</v>
      </c>
      <c r="F52" s="38">
        <f t="shared" si="77"/>
        <v>2.0633733333332893</v>
      </c>
      <c r="G52" s="29">
        <f t="shared" si="78"/>
        <v>7.6388888888888881E-2</v>
      </c>
      <c r="H52" s="29">
        <f t="shared" si="79"/>
        <v>7.6388888888888881E-2</v>
      </c>
      <c r="I52" s="29" cm="1">
        <f t="array" ref="I52">TREND($B52:$C52,$B$44:$C$44,I$76)</f>
        <v>0.64930555555554292</v>
      </c>
      <c r="J52" s="29" cm="1">
        <f t="array" ref="J52">TREND($B52:$C52,$B$44:$C$44,J$76)</f>
        <v>1.2222222222222001</v>
      </c>
      <c r="L52" s="37">
        <f t="shared" si="80"/>
        <v>1</v>
      </c>
      <c r="M52" s="37">
        <f t="shared" si="81"/>
        <v>1</v>
      </c>
      <c r="N52" s="37">
        <f t="shared" si="73"/>
        <v>0.1176470588235317</v>
      </c>
      <c r="O52" s="37">
        <f t="shared" si="73"/>
        <v>6.2500000000001124E-2</v>
      </c>
      <c r="Q52" s="29">
        <f t="shared" si="82"/>
        <v>8.5973888888888891E-2</v>
      </c>
      <c r="R52" s="29">
        <f t="shared" si="82"/>
        <v>1.4139222222222223</v>
      </c>
      <c r="T52" s="29">
        <f t="shared" si="83"/>
        <v>8.5973888888888891E-2</v>
      </c>
      <c r="U52" s="29">
        <f t="shared" si="74"/>
        <v>8.5973888888888891E-2</v>
      </c>
      <c r="V52" s="29">
        <f t="shared" si="74"/>
        <v>0.82251749999997703</v>
      </c>
      <c r="W52" s="29">
        <f t="shared" si="74"/>
        <v>1.4139222222221901</v>
      </c>
      <c r="Y52" s="37">
        <f t="shared" si="84"/>
        <v>1</v>
      </c>
      <c r="Z52" s="37">
        <f t="shared" si="75"/>
        <v>1</v>
      </c>
      <c r="AA52" s="37">
        <f t="shared" si="75"/>
        <v>0.10452530054240949</v>
      </c>
      <c r="AB52" s="37">
        <f t="shared" si="75"/>
        <v>6.0805246241740288E-2</v>
      </c>
    </row>
    <row r="53" spans="1:28" x14ac:dyDescent="0.2">
      <c r="L53" s="41"/>
      <c r="M53" s="41"/>
      <c r="N53" s="41"/>
      <c r="O53" s="41"/>
    </row>
    <row r="54" spans="1:28" x14ac:dyDescent="0.2">
      <c r="A54" s="22" t="s">
        <v>93</v>
      </c>
      <c r="B54" s="25"/>
      <c r="C54" s="25"/>
      <c r="D54" s="24"/>
      <c r="E54" s="25"/>
      <c r="F54" s="25"/>
      <c r="G54" s="26"/>
      <c r="H54" s="26"/>
      <c r="I54" s="26"/>
      <c r="J54" s="26"/>
      <c r="K54" s="26"/>
      <c r="L54" s="35"/>
      <c r="M54" s="35"/>
      <c r="N54" s="35"/>
      <c r="O54" s="35"/>
    </row>
    <row r="55" spans="1:28" x14ac:dyDescent="0.2">
      <c r="A55" s="1" t="s">
        <v>101</v>
      </c>
      <c r="B55" s="7">
        <v>2025</v>
      </c>
      <c r="C55" s="7">
        <v>2035</v>
      </c>
      <c r="D55" s="7"/>
      <c r="E55" s="36" t="s">
        <v>159</v>
      </c>
      <c r="F55" s="7"/>
      <c r="G55" s="7">
        <v>2020</v>
      </c>
      <c r="H55" s="7">
        <v>2025</v>
      </c>
      <c r="I55" s="7">
        <v>2030</v>
      </c>
      <c r="J55" s="7">
        <v>2035</v>
      </c>
      <c r="L55" s="36">
        <v>2020</v>
      </c>
      <c r="M55" s="36">
        <v>2025</v>
      </c>
      <c r="N55" s="36">
        <v>2030</v>
      </c>
      <c r="O55" s="36">
        <v>2035</v>
      </c>
    </row>
    <row r="56" spans="1:28" x14ac:dyDescent="0.2">
      <c r="A56" s="4" t="s">
        <v>105</v>
      </c>
      <c r="B56" s="28">
        <f>lcis!C30</f>
        <v>2.7854154312823534</v>
      </c>
      <c r="C56" s="28">
        <f>lcis!D30</f>
        <v>2.228332345025883</v>
      </c>
      <c r="D56" s="10">
        <f>(C56-B56)/B56</f>
        <v>-0.1999999999999999</v>
      </c>
      <c r="E56" s="38">
        <f>lcis!E30</f>
        <v>2.7854154312823534</v>
      </c>
      <c r="F56" s="40">
        <f>(E56-B56)/B56</f>
        <v>0</v>
      </c>
      <c r="G56" s="28">
        <f>B56</f>
        <v>2.7854154312823534</v>
      </c>
      <c r="H56" s="28">
        <f>B56</f>
        <v>2.7854154312823534</v>
      </c>
      <c r="I56" s="28" cm="1">
        <f t="array" ref="I56">TREND($B56:$C56,$B$29:$C$29,I$29)</f>
        <v>2.5068738881541179</v>
      </c>
      <c r="J56" s="28" cm="1">
        <f t="array" ref="J56">TREND($B56:$C56,$B$29:$C$29,J$29)</f>
        <v>2.2283323450258905</v>
      </c>
      <c r="L56" s="88" t="s">
        <v>115</v>
      </c>
      <c r="M56" s="88"/>
      <c r="N56" s="88"/>
      <c r="O56" s="88"/>
    </row>
    <row r="57" spans="1:28" x14ac:dyDescent="0.2">
      <c r="A57" s="4" t="s">
        <v>209</v>
      </c>
      <c r="B57" s="29">
        <f>lcis!C41</f>
        <v>2.0250000000000004</v>
      </c>
      <c r="C57" s="29">
        <f>lcis!D41</f>
        <v>1.7212500000000002</v>
      </c>
      <c r="D57" s="10">
        <f t="shared" ref="D57:D59" si="86">(C57-B57)/B57</f>
        <v>-0.15000000000000008</v>
      </c>
      <c r="E57" s="38">
        <f>lcis!E41</f>
        <v>2.42</v>
      </c>
      <c r="F57" s="40">
        <f t="shared" ref="F57:F59" si="87">(E57-B57)/B57</f>
        <v>0.19506172839506147</v>
      </c>
      <c r="G57" s="28">
        <f t="shared" ref="G57:G59" si="88">B57</f>
        <v>2.0250000000000004</v>
      </c>
      <c r="H57" s="28">
        <f t="shared" ref="H57:H59" si="89">B57</f>
        <v>2.0250000000000004</v>
      </c>
      <c r="I57" s="28" cm="1">
        <f t="array" ref="I57">TREND($B57:$C57,$B$29:$C$29,I$29)</f>
        <v>1.8731250000000017</v>
      </c>
      <c r="J57" s="28" cm="1">
        <f t="array" ref="J57">TREND($B57:$C57,$B$29:$C$29,J$29)</f>
        <v>1.7212499999999977</v>
      </c>
      <c r="K57" s="8"/>
      <c r="L57" s="37">
        <f t="shared" ref="L57:L59" si="90">G57/$G57</f>
        <v>1</v>
      </c>
      <c r="M57" s="37">
        <f t="shared" ref="M57:M59" si="91">1/(H57/$G57)</f>
        <v>1</v>
      </c>
      <c r="N57" s="37">
        <f t="shared" ref="N57:N59" si="92">1/(I57/$G57)</f>
        <v>1.0810810810810803</v>
      </c>
      <c r="O57" s="37">
        <f t="shared" ref="O57:O59" si="93">1/(J57/$G57)</f>
        <v>1.1764705882352959</v>
      </c>
    </row>
    <row r="58" spans="1:28" x14ac:dyDescent="0.2">
      <c r="A58" s="4" t="s">
        <v>53</v>
      </c>
      <c r="B58" s="29">
        <f>lcis!C42</f>
        <v>0.40500000000000008</v>
      </c>
      <c r="C58" s="29">
        <f>lcis!D42</f>
        <v>0.25818750000000001</v>
      </c>
      <c r="D58" s="10">
        <f t="shared" si="86"/>
        <v>-0.3625000000000001</v>
      </c>
      <c r="E58" s="38">
        <f>lcis!E42</f>
        <v>0.48399999999999999</v>
      </c>
      <c r="F58" s="40">
        <f t="shared" si="87"/>
        <v>0.19506172839506145</v>
      </c>
      <c r="G58" s="28">
        <f t="shared" si="88"/>
        <v>0.40500000000000008</v>
      </c>
      <c r="H58" s="28">
        <f t="shared" si="89"/>
        <v>0.40500000000000008</v>
      </c>
      <c r="I58" s="28" cm="1">
        <f t="array" ref="I58">TREND($B58:$C58,$B$29:$C$29,I$29)</f>
        <v>0.33159374999999969</v>
      </c>
      <c r="J58" s="28" cm="1">
        <f t="array" ref="J58">TREND($B58:$C58,$B$29:$C$29,J$29)</f>
        <v>0.25818749999999824</v>
      </c>
      <c r="K58" s="8"/>
      <c r="L58" s="37">
        <f t="shared" si="90"/>
        <v>1</v>
      </c>
      <c r="M58" s="37">
        <f t="shared" si="91"/>
        <v>1</v>
      </c>
      <c r="N58" s="37">
        <f t="shared" si="92"/>
        <v>1.2213740458015281</v>
      </c>
      <c r="O58" s="37">
        <f t="shared" si="93"/>
        <v>1.5686274509804032</v>
      </c>
    </row>
    <row r="59" spans="1:28" x14ac:dyDescent="0.2">
      <c r="A59" s="4" t="s">
        <v>173</v>
      </c>
      <c r="B59" s="29">
        <f>lcis!C44</f>
        <v>1.2150000000000003</v>
      </c>
      <c r="C59" s="29">
        <f>lcis!D44</f>
        <v>1.0327500000000001</v>
      </c>
      <c r="D59" s="10">
        <f t="shared" si="86"/>
        <v>-0.15000000000000016</v>
      </c>
      <c r="E59" s="38">
        <f>lcis!E44</f>
        <v>1.452</v>
      </c>
      <c r="F59" s="40">
        <f t="shared" si="87"/>
        <v>0.19506172839506139</v>
      </c>
      <c r="G59" s="28">
        <f t="shared" si="88"/>
        <v>1.2150000000000003</v>
      </c>
      <c r="H59" s="28">
        <f t="shared" si="89"/>
        <v>1.2150000000000003</v>
      </c>
      <c r="I59" s="28" cm="1">
        <f t="array" ref="I59">TREND($B59:$C59,$B$29:$C$29,I$29)</f>
        <v>1.1238749999999982</v>
      </c>
      <c r="J59" s="28" cm="1">
        <f t="array" ref="J59">TREND($B59:$C59,$B$29:$C$29,J$29)</f>
        <v>1.0327500000000001</v>
      </c>
      <c r="K59" s="8"/>
      <c r="L59" s="37">
        <f t="shared" si="90"/>
        <v>1</v>
      </c>
      <c r="M59" s="37">
        <f t="shared" si="91"/>
        <v>1</v>
      </c>
      <c r="N59" s="37">
        <f t="shared" si="92"/>
        <v>1.0810810810810831</v>
      </c>
      <c r="O59" s="37">
        <f t="shared" si="93"/>
        <v>1.1764705882352944</v>
      </c>
    </row>
    <row r="60" spans="1:28" x14ac:dyDescent="0.2">
      <c r="A60" s="1"/>
      <c r="D60" s="7"/>
      <c r="K60" s="8"/>
      <c r="L60" s="41"/>
      <c r="M60" s="41"/>
      <c r="N60" s="41"/>
      <c r="O60" s="41"/>
    </row>
    <row r="61" spans="1:28" x14ac:dyDescent="0.2">
      <c r="A61" s="30" t="s">
        <v>107</v>
      </c>
      <c r="B61" s="31">
        <v>2025</v>
      </c>
      <c r="C61" s="31">
        <v>2035</v>
      </c>
      <c r="D61" s="31"/>
      <c r="E61" s="31"/>
      <c r="F61" s="31"/>
      <c r="G61" s="31">
        <v>2020</v>
      </c>
      <c r="H61" s="31">
        <v>2025</v>
      </c>
      <c r="I61" s="31">
        <v>2030</v>
      </c>
      <c r="J61" s="31">
        <v>2035</v>
      </c>
      <c r="L61" s="39"/>
      <c r="M61" s="39"/>
      <c r="N61" s="39"/>
      <c r="O61" s="39"/>
    </row>
    <row r="62" spans="1:28" x14ac:dyDescent="0.2">
      <c r="A62" s="32" t="s">
        <v>12</v>
      </c>
      <c r="B62" s="10">
        <v>0.6</v>
      </c>
      <c r="C62" s="10">
        <v>0.05</v>
      </c>
      <c r="D62" s="10"/>
      <c r="E62" s="8"/>
      <c r="F62" s="8"/>
      <c r="G62" s="10">
        <f>B62</f>
        <v>0.6</v>
      </c>
      <c r="H62" s="10">
        <f>B62</f>
        <v>0.6</v>
      </c>
      <c r="I62" s="10" cm="1">
        <f t="array" ref="I62">TREND($B62:$C62,$B$44:$C$44,I$76)</f>
        <v>0.32500000000000284</v>
      </c>
      <c r="J62" s="10" cm="1">
        <f t="array" ref="J62">TREND($B62:$C62,$B$44:$C$44,J$76)</f>
        <v>5.0000000000011369E-2</v>
      </c>
      <c r="L62" s="38"/>
      <c r="M62" s="40"/>
      <c r="N62" s="40"/>
      <c r="O62" s="40"/>
    </row>
    <row r="63" spans="1:28" x14ac:dyDescent="0.2">
      <c r="A63" s="32" t="s">
        <v>8</v>
      </c>
      <c r="B63" s="10">
        <v>0.39</v>
      </c>
      <c r="C63" s="10">
        <v>0.75</v>
      </c>
      <c r="D63" s="10"/>
      <c r="E63" s="8"/>
      <c r="F63" s="8"/>
      <c r="G63" s="10">
        <f t="shared" ref="G63:G64" si="94">B63</f>
        <v>0.39</v>
      </c>
      <c r="H63" s="10">
        <f t="shared" ref="H63:H64" si="95">B63</f>
        <v>0.39</v>
      </c>
      <c r="I63" s="10" cm="1">
        <f t="array" ref="I63">TREND($B63:$C63,$B$44:$C$44,I$76)</f>
        <v>0.56999999999999318</v>
      </c>
      <c r="J63" s="10" cm="1">
        <f t="array" ref="J63">TREND($B63:$C63,$B$44:$C$44,J$76)</f>
        <v>0.74999999999998579</v>
      </c>
      <c r="L63" s="40"/>
      <c r="M63" s="40"/>
      <c r="N63" s="41"/>
      <c r="O63" s="40"/>
    </row>
    <row r="64" spans="1:28" x14ac:dyDescent="0.2">
      <c r="A64" s="32" t="s">
        <v>11</v>
      </c>
      <c r="B64" s="10">
        <v>0.01</v>
      </c>
      <c r="C64" s="10">
        <v>0.2</v>
      </c>
      <c r="D64" s="8"/>
      <c r="E64" s="8"/>
      <c r="F64" s="8"/>
      <c r="G64" s="10">
        <f t="shared" si="94"/>
        <v>0.01</v>
      </c>
      <c r="H64" s="10">
        <f t="shared" si="95"/>
        <v>0.01</v>
      </c>
      <c r="I64" s="10" cm="1">
        <f t="array" ref="I64">TREND($B64:$C64,$B$44:$C$44,I$76)</f>
        <v>0.10499999999999687</v>
      </c>
      <c r="J64" s="10" cm="1">
        <f t="array" ref="J64">TREND($B64:$C64,$B$44:$C$44,J$76)</f>
        <v>0.19999999999999574</v>
      </c>
      <c r="L64" s="40"/>
      <c r="M64" s="40"/>
      <c r="N64" s="40"/>
      <c r="O64" s="40"/>
    </row>
    <row r="65" spans="1:15" x14ac:dyDescent="0.2">
      <c r="A65" s="4"/>
      <c r="B65" s="21"/>
      <c r="C65" s="6"/>
      <c r="D65" s="7"/>
      <c r="G65" s="6"/>
      <c r="H65" s="6"/>
      <c r="I65" s="6"/>
      <c r="J65" s="6"/>
      <c r="L65" s="42"/>
      <c r="M65" s="42"/>
      <c r="N65" s="42"/>
      <c r="O65" s="42"/>
    </row>
    <row r="66" spans="1:15" x14ac:dyDescent="0.2">
      <c r="A66" s="1" t="s">
        <v>108</v>
      </c>
      <c r="B66" s="7">
        <v>2025</v>
      </c>
      <c r="C66" s="7">
        <v>2035</v>
      </c>
      <c r="D66" s="7"/>
      <c r="E66" s="36" t="s">
        <v>159</v>
      </c>
      <c r="F66" s="7"/>
      <c r="G66" s="7">
        <v>2020</v>
      </c>
      <c r="H66" s="7">
        <v>2025</v>
      </c>
      <c r="I66" s="7">
        <v>2030</v>
      </c>
      <c r="J66" s="7">
        <v>2035</v>
      </c>
      <c r="L66" s="36">
        <v>2020</v>
      </c>
      <c r="M66" s="36">
        <v>2025</v>
      </c>
      <c r="N66" s="36">
        <v>2030</v>
      </c>
      <c r="O66" s="36">
        <v>2035</v>
      </c>
    </row>
    <row r="67" spans="1:15" x14ac:dyDescent="0.2">
      <c r="A67" s="4" t="s">
        <v>12</v>
      </c>
      <c r="B67" s="29">
        <f>B$56*B62</f>
        <v>1.6712492587694119</v>
      </c>
      <c r="C67" s="29">
        <f>C$56*C62</f>
        <v>0.11141661725129415</v>
      </c>
      <c r="D67" s="6"/>
      <c r="E67" s="38">
        <f>E$56*C62</f>
        <v>0.13927077156411768</v>
      </c>
      <c r="G67" s="29">
        <f>B67</f>
        <v>1.6712492587694119</v>
      </c>
      <c r="H67" s="29">
        <f>B67</f>
        <v>1.6712492587694119</v>
      </c>
      <c r="I67" s="29" cm="1">
        <f t="array" ref="I67">TREND($B67:$C67,$B$66:$C$66,I$66)</f>
        <v>0.89133293801035052</v>
      </c>
      <c r="J67" s="29" cm="1">
        <f t="array" ref="J67">TREND($B67:$C67,$B$66:$C$66,J$66)</f>
        <v>0.1114166172512796</v>
      </c>
      <c r="L67" s="37">
        <f>G67/$G67</f>
        <v>1</v>
      </c>
      <c r="M67" s="37">
        <f>1/(H67/$G67)</f>
        <v>1</v>
      </c>
      <c r="N67" s="37">
        <f t="shared" ref="N67:O69" si="96">1/(I67/$G67)</f>
        <v>1.8750000000000051</v>
      </c>
      <c r="O67" s="37">
        <f t="shared" si="96"/>
        <v>15.000000000001956</v>
      </c>
    </row>
    <row r="68" spans="1:15" x14ac:dyDescent="0.2">
      <c r="A68" s="4" t="s">
        <v>8</v>
      </c>
      <c r="B68" s="29">
        <f t="shared" ref="B68:C69" si="97">B$56*B63</f>
        <v>1.0863120182001178</v>
      </c>
      <c r="C68" s="29">
        <f t="shared" si="97"/>
        <v>1.6712492587694121</v>
      </c>
      <c r="D68" s="6"/>
      <c r="E68" s="38">
        <f t="shared" ref="E68:E69" si="98">E$56*C63</f>
        <v>2.0890615734617652</v>
      </c>
      <c r="G68" s="29">
        <f>B68</f>
        <v>1.0863120182001178</v>
      </c>
      <c r="H68" s="29">
        <f t="shared" ref="H68:H69" si="99">B68</f>
        <v>1.0863120182001178</v>
      </c>
      <c r="I68" s="29" cm="1">
        <f t="array" ref="I68">TREND($B68:$C68,$B$66:$C$66,I$66)</f>
        <v>1.3787806384847698</v>
      </c>
      <c r="J68" s="29" cm="1">
        <f t="array" ref="J68">TREND($B68:$C68,$B$66:$C$66,J$66)</f>
        <v>1.6712492587694214</v>
      </c>
      <c r="L68" s="37">
        <f t="shared" ref="L68:L69" si="100">G68/$G68</f>
        <v>1</v>
      </c>
      <c r="M68" s="37">
        <f t="shared" ref="M68:M69" si="101">1/(H68/$G68)</f>
        <v>1</v>
      </c>
      <c r="N68" s="37">
        <f t="shared" si="96"/>
        <v>0.78787878787878507</v>
      </c>
      <c r="O68" s="37">
        <f t="shared" si="96"/>
        <v>0.64999999999999636</v>
      </c>
    </row>
    <row r="69" spans="1:15" x14ac:dyDescent="0.2">
      <c r="A69" s="4" t="s">
        <v>11</v>
      </c>
      <c r="B69" s="29">
        <f t="shared" si="97"/>
        <v>2.7854154312823533E-2</v>
      </c>
      <c r="C69" s="29">
        <f t="shared" si="97"/>
        <v>0.44566646900517659</v>
      </c>
      <c r="E69" s="38">
        <f t="shared" si="98"/>
        <v>0.55708308625647074</v>
      </c>
      <c r="G69" s="29">
        <f>B69</f>
        <v>2.7854154312823533E-2</v>
      </c>
      <c r="H69" s="29">
        <f t="shared" si="99"/>
        <v>2.7854154312823533E-2</v>
      </c>
      <c r="I69" s="29" cm="1">
        <f t="array" ref="I69">TREND($B69:$C69,$B$66:$C$66,I$66)</f>
        <v>0.23676031165899758</v>
      </c>
      <c r="J69" s="29" cm="1">
        <f t="array" ref="J69">TREND($B69:$C69,$B$66:$C$66,J$66)</f>
        <v>0.44566646900517526</v>
      </c>
      <c r="L69" s="37">
        <f t="shared" si="100"/>
        <v>1</v>
      </c>
      <c r="M69" s="37">
        <f t="shared" si="101"/>
        <v>1</v>
      </c>
      <c r="N69" s="37">
        <f t="shared" si="96"/>
        <v>0.11764705882353065</v>
      </c>
      <c r="O69" s="37">
        <f t="shared" si="96"/>
        <v>6.250000000000018E-2</v>
      </c>
    </row>
    <row r="70" spans="1:15" x14ac:dyDescent="0.2">
      <c r="A70" s="4"/>
      <c r="B70" s="29"/>
      <c r="C70" s="29"/>
      <c r="E70" s="38"/>
      <c r="G70" s="29"/>
      <c r="H70" s="29"/>
      <c r="I70" s="29"/>
      <c r="J70" s="29"/>
      <c r="L70" s="37"/>
      <c r="M70" s="37"/>
      <c r="N70" s="37"/>
      <c r="O70" s="37"/>
    </row>
    <row r="71" spans="1:15" x14ac:dyDescent="0.2">
      <c r="A71" s="22" t="s">
        <v>140</v>
      </c>
      <c r="B71" s="25"/>
      <c r="C71" s="25"/>
      <c r="D71" s="24"/>
      <c r="E71" s="25"/>
      <c r="F71" s="25"/>
      <c r="G71" s="26"/>
      <c r="H71" s="26"/>
      <c r="I71" s="26"/>
      <c r="J71" s="26"/>
      <c r="K71" s="26"/>
      <c r="L71" s="35"/>
      <c r="M71" s="35"/>
      <c r="N71" s="35"/>
      <c r="O71" s="35"/>
    </row>
    <row r="72" spans="1:15" x14ac:dyDescent="0.2">
      <c r="A72" s="30" t="s">
        <v>85</v>
      </c>
      <c r="B72" s="31">
        <v>2025</v>
      </c>
      <c r="C72" s="31">
        <v>2030</v>
      </c>
      <c r="D72" s="31">
        <v>2035</v>
      </c>
      <c r="E72" s="31"/>
      <c r="F72" s="31"/>
      <c r="G72" s="31">
        <v>2020</v>
      </c>
      <c r="H72" s="31">
        <v>2025</v>
      </c>
      <c r="I72" s="31">
        <v>2030</v>
      </c>
      <c r="J72" s="31">
        <v>2035</v>
      </c>
      <c r="L72" s="36"/>
      <c r="M72" s="36"/>
      <c r="N72" s="36"/>
      <c r="O72" s="36"/>
    </row>
    <row r="73" spans="1:15" x14ac:dyDescent="0.2">
      <c r="A73" s="32" t="s">
        <v>31</v>
      </c>
      <c r="B73" s="10">
        <v>1</v>
      </c>
      <c r="C73" s="10">
        <v>0.9</v>
      </c>
      <c r="D73" s="10">
        <v>0.85</v>
      </c>
      <c r="E73" s="8"/>
      <c r="F73" s="8"/>
      <c r="G73" s="10">
        <f>B73</f>
        <v>1</v>
      </c>
      <c r="H73" s="10">
        <f>B73</f>
        <v>1</v>
      </c>
      <c r="I73" s="10">
        <f t="shared" ref="I73:I74" si="102">C73</f>
        <v>0.9</v>
      </c>
      <c r="J73" s="10">
        <f t="shared" ref="J73:J74" si="103">D73</f>
        <v>0.85</v>
      </c>
      <c r="L73" s="42"/>
      <c r="M73" s="42"/>
      <c r="N73" s="42"/>
      <c r="O73" s="42"/>
    </row>
    <row r="74" spans="1:15" x14ac:dyDescent="0.2">
      <c r="A74" s="32" t="s">
        <v>32</v>
      </c>
      <c r="B74" s="10">
        <v>0</v>
      </c>
      <c r="C74" s="10">
        <v>0.1</v>
      </c>
      <c r="D74" s="10">
        <v>0.15</v>
      </c>
      <c r="E74" s="8"/>
      <c r="F74" s="8"/>
      <c r="G74" s="10">
        <f>B74</f>
        <v>0</v>
      </c>
      <c r="H74" s="10">
        <f>B74</f>
        <v>0</v>
      </c>
      <c r="I74" s="10">
        <f t="shared" si="102"/>
        <v>0.1</v>
      </c>
      <c r="J74" s="10">
        <f t="shared" si="103"/>
        <v>0.15</v>
      </c>
      <c r="L74" s="42"/>
      <c r="M74" s="42"/>
      <c r="N74" s="42"/>
      <c r="O74" s="42"/>
    </row>
    <row r="75" spans="1:15" ht="6.75" customHeight="1" x14ac:dyDescent="0.2">
      <c r="A75" s="4"/>
      <c r="B75" s="6"/>
      <c r="G75" s="9"/>
      <c r="L75" s="43"/>
      <c r="M75" s="41"/>
      <c r="N75" s="41"/>
      <c r="O75" s="41"/>
    </row>
    <row r="76" spans="1:15" x14ac:dyDescent="0.2">
      <c r="A76" s="1" t="s">
        <v>33</v>
      </c>
      <c r="B76" s="7"/>
      <c r="C76" s="7"/>
      <c r="D76" s="7"/>
      <c r="E76" s="7"/>
      <c r="F76" s="7"/>
      <c r="G76" s="7">
        <v>2020</v>
      </c>
      <c r="H76" s="7">
        <v>2025</v>
      </c>
      <c r="I76" s="7">
        <v>2030</v>
      </c>
      <c r="J76" s="7">
        <v>2035</v>
      </c>
      <c r="L76" s="36"/>
      <c r="M76" s="36"/>
      <c r="N76" s="36"/>
      <c r="O76" s="36"/>
    </row>
    <row r="77" spans="1:15" x14ac:dyDescent="0.2">
      <c r="A77" s="4" t="s">
        <v>86</v>
      </c>
      <c r="B77" s="20" t="s">
        <v>40</v>
      </c>
      <c r="C77" s="21" t="s">
        <v>41</v>
      </c>
      <c r="D77" s="7"/>
      <c r="G77" s="6">
        <f>'Soda ash_USGS'!F13*G73</f>
        <v>0.73321234119782219</v>
      </c>
      <c r="H77" s="6">
        <f>'Soda ash_USGS'!F19*H73</f>
        <v>0.67576165305191216</v>
      </c>
      <c r="I77" s="6">
        <f>'Soda ash_USGS'!F20*I73</f>
        <v>0.58308982680267274</v>
      </c>
      <c r="J77" s="6">
        <f>'Soda ash_USGS'!F21*J73</f>
        <v>0.52495619606900867</v>
      </c>
      <c r="L77" s="42"/>
      <c r="M77" s="42"/>
      <c r="N77" s="42"/>
      <c r="O77" s="42"/>
    </row>
    <row r="78" spans="1:15" x14ac:dyDescent="0.2">
      <c r="A78" s="4" t="s">
        <v>87</v>
      </c>
      <c r="B78" s="20"/>
      <c r="C78" s="6"/>
      <c r="D78" s="7"/>
      <c r="G78" s="6">
        <f>'Soda ash_USGS'!F13*G74</f>
        <v>0</v>
      </c>
      <c r="H78" s="6">
        <f>'Soda ash_USGS'!F19*H74</f>
        <v>0</v>
      </c>
      <c r="I78" s="6">
        <f>'Soda ash_USGS'!F20*I74</f>
        <v>6.4787758533630307E-2</v>
      </c>
      <c r="J78" s="6">
        <f>'Soda ash_USGS'!F21*J74</f>
        <v>9.2639328718060354E-2</v>
      </c>
      <c r="L78" s="42"/>
      <c r="M78" s="42"/>
      <c r="N78" s="42"/>
      <c r="O78" s="42"/>
    </row>
    <row r="79" spans="1:15" x14ac:dyDescent="0.2">
      <c r="A79" s="4" t="s">
        <v>88</v>
      </c>
      <c r="B79" s="2"/>
      <c r="C79" s="6"/>
      <c r="D79" s="7"/>
      <c r="G79" s="6">
        <f>'Soda ash_USGS'!E13</f>
        <v>0.26678765880217786</v>
      </c>
      <c r="H79" s="6">
        <f>'Soda ash_USGS'!E19</f>
        <v>0.32423834694808784</v>
      </c>
      <c r="I79" s="6">
        <f>'Soda ash_USGS'!E20</f>
        <v>0.35212241466369704</v>
      </c>
      <c r="J79" s="6">
        <f>'Soda ash_USGS'!E21</f>
        <v>0.38240447521293092</v>
      </c>
      <c r="L79" s="42"/>
      <c r="M79" s="42"/>
      <c r="N79" s="42"/>
      <c r="O79" s="42"/>
    </row>
    <row r="80" spans="1:15" x14ac:dyDescent="0.2">
      <c r="A80" s="4"/>
      <c r="B80" s="29"/>
      <c r="C80" s="29"/>
      <c r="G80" s="29"/>
      <c r="H80" s="29"/>
      <c r="I80" s="29"/>
      <c r="J80" s="29"/>
      <c r="L80" s="37"/>
      <c r="M80" s="37"/>
      <c r="N80" s="37"/>
      <c r="O80" s="37"/>
    </row>
    <row r="81" spans="1:16" x14ac:dyDescent="0.2">
      <c r="A81" s="22" t="s">
        <v>0</v>
      </c>
      <c r="B81" s="24"/>
      <c r="C81" s="24"/>
      <c r="D81" s="24"/>
      <c r="E81" s="25"/>
      <c r="F81" s="25"/>
      <c r="G81" s="26"/>
      <c r="H81" s="26"/>
      <c r="I81" s="26"/>
      <c r="J81" s="26"/>
    </row>
    <row r="82" spans="1:16" x14ac:dyDescent="0.2">
      <c r="A82" s="3" t="s">
        <v>1</v>
      </c>
      <c r="B82" s="31">
        <v>2025</v>
      </c>
      <c r="C82" s="31">
        <v>2035</v>
      </c>
      <c r="G82" s="31">
        <v>2020</v>
      </c>
      <c r="H82" s="31">
        <v>2025</v>
      </c>
      <c r="I82" s="31">
        <v>2030</v>
      </c>
      <c r="J82" s="31">
        <v>2035</v>
      </c>
      <c r="P82" s="12"/>
    </row>
    <row r="83" spans="1:16" x14ac:dyDescent="0.2">
      <c r="A83" s="4" t="s">
        <v>2</v>
      </c>
      <c r="B83" s="6">
        <v>0.82847625455291896</v>
      </c>
      <c r="C83" s="6">
        <v>1</v>
      </c>
      <c r="D83" s="6"/>
      <c r="G83" s="10">
        <f t="shared" ref="G83:G85" si="104">B83</f>
        <v>0.82847625455291896</v>
      </c>
      <c r="H83" s="10">
        <f>B83</f>
        <v>0.82847625455291896</v>
      </c>
      <c r="I83" s="10">
        <f>1-SUM(I84:I85)</f>
        <v>0.91423812727646148</v>
      </c>
      <c r="J83" s="10">
        <f>C83</f>
        <v>1</v>
      </c>
    </row>
    <row r="84" spans="1:16" x14ac:dyDescent="0.2">
      <c r="A84" s="4" t="s">
        <v>4</v>
      </c>
      <c r="B84" s="6">
        <v>0.147669449722652</v>
      </c>
      <c r="C84" s="6">
        <v>0</v>
      </c>
      <c r="D84" s="6"/>
      <c r="G84" s="10">
        <f t="shared" si="104"/>
        <v>0.147669449722652</v>
      </c>
      <c r="H84" s="10">
        <f t="shared" ref="H84:H85" si="105">B84</f>
        <v>0.147669449722652</v>
      </c>
      <c r="I84" s="10" cm="1">
        <f t="array" ref="I84">TREND(B84:C84,B82:C82,I82)</f>
        <v>7.3834724861324474E-2</v>
      </c>
      <c r="J84" s="10">
        <f t="shared" ref="J84:J85" si="106">C84</f>
        <v>0</v>
      </c>
    </row>
    <row r="85" spans="1:16" x14ac:dyDescent="0.2">
      <c r="A85" s="4" t="s">
        <v>3</v>
      </c>
      <c r="B85" s="6">
        <v>2.3854295724428501E-2</v>
      </c>
      <c r="C85" s="6">
        <v>0</v>
      </c>
      <c r="D85" s="6"/>
      <c r="G85" s="10">
        <f t="shared" si="104"/>
        <v>2.3854295724428501E-2</v>
      </c>
      <c r="H85" s="10">
        <f t="shared" si="105"/>
        <v>2.3854295724428501E-2</v>
      </c>
      <c r="I85" s="10" cm="1">
        <f t="array" ref="I85">TREND(B85:C85,B82:C82,I82)</f>
        <v>1.1927147862214049E-2</v>
      </c>
      <c r="J85" s="10">
        <f t="shared" si="106"/>
        <v>0</v>
      </c>
    </row>
    <row r="86" spans="1:16" ht="7.5" customHeight="1" x14ac:dyDescent="0.2"/>
    <row r="87" spans="1:16" x14ac:dyDescent="0.2">
      <c r="A87" s="22" t="s">
        <v>6</v>
      </c>
      <c r="B87" s="24"/>
      <c r="C87" s="24"/>
      <c r="D87" s="24"/>
      <c r="E87" s="25"/>
      <c r="F87" s="25"/>
      <c r="G87" s="26"/>
      <c r="H87" s="26"/>
      <c r="I87" s="26"/>
      <c r="J87" s="26"/>
    </row>
    <row r="88" spans="1:16" x14ac:dyDescent="0.2">
      <c r="A88" s="3" t="s">
        <v>7</v>
      </c>
      <c r="B88" s="31">
        <v>2025</v>
      </c>
      <c r="C88" s="31">
        <v>2035</v>
      </c>
      <c r="G88" s="31">
        <v>2020</v>
      </c>
      <c r="H88" s="31">
        <v>2025</v>
      </c>
      <c r="I88" s="31">
        <v>2030</v>
      </c>
      <c r="J88" s="31">
        <v>2035</v>
      </c>
    </row>
    <row r="89" spans="1:16" x14ac:dyDescent="0.2">
      <c r="A89" s="4" t="s">
        <v>2</v>
      </c>
      <c r="B89" s="6">
        <v>0.83522842666570951</v>
      </c>
      <c r="C89" s="6">
        <f>D83</f>
        <v>0</v>
      </c>
      <c r="G89" s="10">
        <f>B89</f>
        <v>0.83522842666570951</v>
      </c>
      <c r="H89" s="10">
        <f>B89</f>
        <v>0.83522842666570951</v>
      </c>
      <c r="I89" s="6">
        <f>1-SUM(I90:I91)</f>
        <v>0.91761421333285487</v>
      </c>
      <c r="J89" s="10">
        <f>C89</f>
        <v>0</v>
      </c>
    </row>
    <row r="90" spans="1:16" x14ac:dyDescent="0.2">
      <c r="A90" s="4" t="s">
        <v>4</v>
      </c>
      <c r="B90" s="6">
        <v>0.14185632141362753</v>
      </c>
      <c r="C90" s="6">
        <f>D84</f>
        <v>0</v>
      </c>
      <c r="G90" s="10">
        <f>B90</f>
        <v>0.14185632141362753</v>
      </c>
      <c r="H90" s="10">
        <f>B90</f>
        <v>0.14185632141362753</v>
      </c>
      <c r="I90" s="10" cm="1">
        <f t="array" ref="I90">TREND(B90:C90,B88:C88,I88)</f>
        <v>7.0928160706813514E-2</v>
      </c>
      <c r="J90" s="10">
        <f>C90</f>
        <v>0</v>
      </c>
    </row>
    <row r="91" spans="1:16" x14ac:dyDescent="0.2">
      <c r="A91" s="4" t="s">
        <v>3</v>
      </c>
      <c r="B91" s="6">
        <v>2.2915251920662998E-2</v>
      </c>
      <c r="C91" s="6">
        <f>D85</f>
        <v>0</v>
      </c>
      <c r="G91" s="10">
        <f>B91</f>
        <v>2.2915251920662998E-2</v>
      </c>
      <c r="H91" s="10">
        <f>B91</f>
        <v>2.2915251920662998E-2</v>
      </c>
      <c r="I91" s="10" cm="1">
        <f t="array" ref="I91">TREND(B91:C91,B88:C88,I88)</f>
        <v>1.1457625960331619E-2</v>
      </c>
      <c r="J91" s="10">
        <f>C91</f>
        <v>0</v>
      </c>
    </row>
    <row r="102" spans="16:16" x14ac:dyDescent="0.2">
      <c r="P102" s="12"/>
    </row>
    <row r="104" spans="16:16" x14ac:dyDescent="0.2">
      <c r="P104" s="12"/>
    </row>
    <row r="105" spans="16:16" x14ac:dyDescent="0.2">
      <c r="P105" s="12"/>
    </row>
    <row r="114" spans="16:16" x14ac:dyDescent="0.2">
      <c r="P114" s="12"/>
    </row>
    <row r="121" spans="16:16" x14ac:dyDescent="0.2">
      <c r="P121" s="11"/>
    </row>
  </sheetData>
  <mergeCells count="4">
    <mergeCell ref="L5:O5"/>
    <mergeCell ref="L34:O34"/>
    <mergeCell ref="L56:O56"/>
    <mergeCell ref="L35:O35"/>
  </mergeCells>
  <hyperlinks>
    <hyperlink ref="C77" location="'Soda ash_USGS'!A1" display="Soda ash_USGS" xr:uid="{936360A5-2AE4-4D3C-847E-0A99377E51B9}"/>
  </hyperlinks>
  <pageMargins left="0.7" right="0.7" top="0.75" bottom="0.75" header="0.3" footer="0.3"/>
  <pageSetup paperSize="9" orientation="portrait" r:id="rId1"/>
  <headerFooter>
    <oddFooter>&amp;L_x000D_&amp;1#&amp;"Calibri"&amp;10&amp;K000000 Classified as Internal | Intern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BB06-101E-4077-9F12-47E0F500D2D7}">
  <dimension ref="A2:L96"/>
  <sheetViews>
    <sheetView zoomScale="85" zoomScaleNormal="85" workbookViewId="0">
      <selection activeCell="E10" sqref="E10"/>
    </sheetView>
  </sheetViews>
  <sheetFormatPr defaultRowHeight="15" x14ac:dyDescent="0.25"/>
  <cols>
    <col min="1" max="1" width="29" bestFit="1" customWidth="1"/>
    <col min="2" max="2" width="17.7109375" bestFit="1" customWidth="1"/>
    <col min="3" max="5" width="14.140625" style="14" bestFit="1" customWidth="1"/>
    <col min="6" max="6" width="19.140625" bestFit="1" customWidth="1"/>
    <col min="7" max="7" width="38.42578125" customWidth="1"/>
  </cols>
  <sheetData>
    <row r="2" spans="1:7" ht="18.75" x14ac:dyDescent="0.3">
      <c r="A2" s="55" t="s">
        <v>72</v>
      </c>
      <c r="B2" s="56"/>
      <c r="C2" s="56"/>
      <c r="D2" s="56"/>
      <c r="E2" s="56"/>
      <c r="F2" s="56"/>
    </row>
    <row r="3" spans="1:7" x14ac:dyDescent="0.25">
      <c r="A3" s="52" t="s">
        <v>13</v>
      </c>
      <c r="B3" s="52" t="s">
        <v>17</v>
      </c>
      <c r="C3" s="13" t="s">
        <v>141</v>
      </c>
      <c r="D3" s="13" t="s">
        <v>99</v>
      </c>
      <c r="E3" s="13" t="s">
        <v>177</v>
      </c>
      <c r="F3" s="52" t="s">
        <v>14</v>
      </c>
      <c r="G3" s="52" t="s">
        <v>15</v>
      </c>
    </row>
    <row r="4" spans="1:7" x14ac:dyDescent="0.25">
      <c r="A4" t="s">
        <v>19</v>
      </c>
      <c r="B4" t="s">
        <v>20</v>
      </c>
      <c r="C4" s="45">
        <f>AVERAGE(1.4,2.2)*(1+0.03)</f>
        <v>1.8540000000000001</v>
      </c>
      <c r="D4" s="45">
        <f>AVERAGE(1.4,2.2)*(1+0.01)</f>
        <v>1.8180000000000001</v>
      </c>
      <c r="E4" s="45">
        <f>AVERAGE(1.4,2.2)*(1+0.05)</f>
        <v>1.8900000000000001</v>
      </c>
      <c r="F4" t="s">
        <v>18</v>
      </c>
      <c r="G4" t="s">
        <v>146</v>
      </c>
    </row>
    <row r="5" spans="1:7" x14ac:dyDescent="0.25">
      <c r="A5" t="s">
        <v>78</v>
      </c>
      <c r="B5" t="s">
        <v>16</v>
      </c>
      <c r="C5" s="45">
        <f>AVERAGE(3.2,4.2)</f>
        <v>3.7</v>
      </c>
      <c r="D5" s="45">
        <v>3.2</v>
      </c>
      <c r="E5" s="45">
        <v>4.2</v>
      </c>
      <c r="F5" t="s">
        <v>18</v>
      </c>
      <c r="G5" t="s">
        <v>147</v>
      </c>
    </row>
    <row r="6" spans="1:7" x14ac:dyDescent="0.25">
      <c r="A6" t="s">
        <v>112</v>
      </c>
      <c r="B6" t="s">
        <v>28</v>
      </c>
      <c r="C6" s="45">
        <f>AVERAGE(20+10,40+40)/1000</f>
        <v>5.5E-2</v>
      </c>
      <c r="D6" s="45">
        <f>30/1000</f>
        <v>0.03</v>
      </c>
      <c r="E6" s="45">
        <v>0.08</v>
      </c>
      <c r="F6" t="s">
        <v>18</v>
      </c>
      <c r="G6" t="s">
        <v>148</v>
      </c>
    </row>
    <row r="7" spans="1:7" s="53" customFormat="1" x14ac:dyDescent="0.25">
      <c r="A7" s="53" t="s">
        <v>143</v>
      </c>
      <c r="B7" s="53" t="s">
        <v>16</v>
      </c>
      <c r="C7" s="54" t="s">
        <v>153</v>
      </c>
      <c r="D7" s="54" t="s">
        <v>190</v>
      </c>
      <c r="E7" s="54" t="s">
        <v>190</v>
      </c>
      <c r="F7" s="53" t="s">
        <v>144</v>
      </c>
      <c r="G7" s="53" t="s">
        <v>154</v>
      </c>
    </row>
    <row r="8" spans="1:7" x14ac:dyDescent="0.25">
      <c r="A8" t="s">
        <v>23</v>
      </c>
      <c r="B8" t="s">
        <v>24</v>
      </c>
      <c r="C8" s="47">
        <v>1.1200000000000001E-12</v>
      </c>
      <c r="D8" s="47" t="s">
        <v>190</v>
      </c>
      <c r="E8" s="47" t="s">
        <v>190</v>
      </c>
      <c r="F8" t="s">
        <v>25</v>
      </c>
    </row>
    <row r="9" spans="1:7" x14ac:dyDescent="0.25">
      <c r="A9" t="s">
        <v>26</v>
      </c>
      <c r="B9" t="s">
        <v>20</v>
      </c>
      <c r="C9" s="47">
        <v>1.6099999999999998E-5</v>
      </c>
      <c r="D9" s="47" t="s">
        <v>190</v>
      </c>
      <c r="E9" s="47" t="s">
        <v>190</v>
      </c>
      <c r="F9" t="s">
        <v>25</v>
      </c>
    </row>
    <row r="10" spans="1:7" s="53" customFormat="1" x14ac:dyDescent="0.25">
      <c r="A10" s="53" t="s">
        <v>142</v>
      </c>
      <c r="B10" s="53" t="s">
        <v>20</v>
      </c>
      <c r="C10" s="54">
        <f>C4*0.03</f>
        <v>5.5620000000000003E-2</v>
      </c>
      <c r="D10" s="54">
        <f>D4*0.01</f>
        <v>1.8180000000000002E-2</v>
      </c>
      <c r="E10" s="54">
        <f>E4*0.05</f>
        <v>9.4500000000000015E-2</v>
      </c>
      <c r="F10" s="53" t="s">
        <v>111</v>
      </c>
      <c r="G10" s="53" t="s">
        <v>145</v>
      </c>
    </row>
    <row r="11" spans="1:7" x14ac:dyDescent="0.25">
      <c r="A11" t="s">
        <v>21</v>
      </c>
      <c r="B11" t="s">
        <v>20</v>
      </c>
      <c r="C11" s="45">
        <v>0.78500000000000003</v>
      </c>
      <c r="D11" s="45" t="s">
        <v>190</v>
      </c>
      <c r="E11" s="47" t="s">
        <v>190</v>
      </c>
      <c r="F11" t="s">
        <v>18</v>
      </c>
      <c r="G11" t="s">
        <v>149</v>
      </c>
    </row>
    <row r="12" spans="1:7" s="53" customFormat="1" x14ac:dyDescent="0.25">
      <c r="A12" s="53" t="s">
        <v>150</v>
      </c>
      <c r="B12" s="53" t="s">
        <v>152</v>
      </c>
      <c r="C12" s="54" t="s">
        <v>153</v>
      </c>
      <c r="D12" s="45" t="s">
        <v>190</v>
      </c>
      <c r="E12" s="54" t="s">
        <v>190</v>
      </c>
      <c r="F12" s="53" t="s">
        <v>144</v>
      </c>
      <c r="G12" s="53" t="s">
        <v>155</v>
      </c>
    </row>
    <row r="13" spans="1:7" s="53" customFormat="1" x14ac:dyDescent="0.25">
      <c r="A13" s="53" t="s">
        <v>151</v>
      </c>
      <c r="B13" s="53" t="s">
        <v>152</v>
      </c>
      <c r="C13" s="54" t="s">
        <v>153</v>
      </c>
      <c r="D13" s="45" t="s">
        <v>190</v>
      </c>
      <c r="E13" s="54" t="s">
        <v>190</v>
      </c>
      <c r="F13" s="53" t="s">
        <v>144</v>
      </c>
      <c r="G13" s="53" t="s">
        <v>155</v>
      </c>
    </row>
    <row r="14" spans="1:7" ht="18.75" x14ac:dyDescent="0.3">
      <c r="A14" s="55" t="s">
        <v>73</v>
      </c>
      <c r="B14" s="57"/>
      <c r="C14" s="58"/>
      <c r="D14" s="58"/>
      <c r="E14" s="58"/>
      <c r="F14" s="57"/>
    </row>
    <row r="15" spans="1:7" x14ac:dyDescent="0.25">
      <c r="A15" s="52" t="s">
        <v>13</v>
      </c>
      <c r="B15" s="52" t="s">
        <v>17</v>
      </c>
      <c r="C15" s="13" t="s">
        <v>141</v>
      </c>
      <c r="D15" s="13" t="s">
        <v>99</v>
      </c>
      <c r="E15" s="13" t="s">
        <v>177</v>
      </c>
      <c r="F15" s="52" t="s">
        <v>14</v>
      </c>
      <c r="G15" s="52" t="s">
        <v>15</v>
      </c>
    </row>
    <row r="16" spans="1:7" x14ac:dyDescent="0.25">
      <c r="A16" t="s">
        <v>19</v>
      </c>
      <c r="B16" t="s">
        <v>20</v>
      </c>
      <c r="C16" s="45">
        <f t="shared" ref="C16:D18" si="0">C4</f>
        <v>1.8540000000000001</v>
      </c>
      <c r="D16" s="45">
        <f t="shared" si="0"/>
        <v>1.8180000000000001</v>
      </c>
      <c r="E16" s="45">
        <f t="shared" ref="E16" si="1">E4</f>
        <v>1.8900000000000001</v>
      </c>
      <c r="F16" t="s">
        <v>156</v>
      </c>
    </row>
    <row r="17" spans="1:12" x14ac:dyDescent="0.25">
      <c r="A17" t="s">
        <v>78</v>
      </c>
      <c r="B17" t="s">
        <v>16</v>
      </c>
      <c r="C17" s="45">
        <f t="shared" si="0"/>
        <v>3.7</v>
      </c>
      <c r="D17" s="45">
        <f t="shared" si="0"/>
        <v>3.2</v>
      </c>
      <c r="E17" s="45">
        <f t="shared" ref="E17" si="2">E5</f>
        <v>4.2</v>
      </c>
      <c r="F17" t="s">
        <v>156</v>
      </c>
    </row>
    <row r="18" spans="1:12" x14ac:dyDescent="0.25">
      <c r="A18" t="s">
        <v>112</v>
      </c>
      <c r="B18" t="s">
        <v>28</v>
      </c>
      <c r="C18" s="45">
        <f t="shared" si="0"/>
        <v>5.5E-2</v>
      </c>
      <c r="D18" s="45">
        <f t="shared" si="0"/>
        <v>0.03</v>
      </c>
      <c r="E18" s="45">
        <f t="shared" ref="E18" si="3">E6</f>
        <v>0.08</v>
      </c>
      <c r="F18" t="s">
        <v>156</v>
      </c>
      <c r="K18" s="44"/>
      <c r="L18" s="44"/>
    </row>
    <row r="19" spans="1:12" x14ac:dyDescent="0.25">
      <c r="A19" t="s">
        <v>27</v>
      </c>
      <c r="B19" t="s">
        <v>28</v>
      </c>
      <c r="C19" s="45">
        <f>(262/3.6)/1000</f>
        <v>7.2777777777777775E-2</v>
      </c>
      <c r="D19" s="45">
        <f>(255/3.6)/1000</f>
        <v>7.0833333333333331E-2</v>
      </c>
      <c r="E19" s="45">
        <f>(332/3.6)/1000</f>
        <v>9.2222222222222219E-2</v>
      </c>
      <c r="F19" t="s">
        <v>25</v>
      </c>
      <c r="G19" t="s">
        <v>157</v>
      </c>
    </row>
    <row r="20" spans="1:12" x14ac:dyDescent="0.25">
      <c r="A20" t="s">
        <v>29</v>
      </c>
      <c r="B20" t="s">
        <v>28</v>
      </c>
      <c r="C20" s="45">
        <f>90.1/1000</f>
        <v>9.01E-2</v>
      </c>
      <c r="D20" s="45">
        <f>C20</f>
        <v>9.01E-2</v>
      </c>
      <c r="E20" s="45">
        <f>D20</f>
        <v>9.01E-2</v>
      </c>
      <c r="F20" t="s">
        <v>25</v>
      </c>
      <c r="G20" t="s">
        <v>113</v>
      </c>
    </row>
    <row r="21" spans="1:12" s="53" customFormat="1" x14ac:dyDescent="0.25">
      <c r="A21" s="53" t="s">
        <v>143</v>
      </c>
      <c r="B21" s="53" t="s">
        <v>16</v>
      </c>
      <c r="C21" s="54" t="s">
        <v>153</v>
      </c>
      <c r="D21" s="54" t="s">
        <v>190</v>
      </c>
      <c r="E21" s="54" t="s">
        <v>190</v>
      </c>
      <c r="F21" t="s">
        <v>156</v>
      </c>
    </row>
    <row r="22" spans="1:12" x14ac:dyDescent="0.25">
      <c r="A22" t="s">
        <v>23</v>
      </c>
      <c r="B22" t="s">
        <v>24</v>
      </c>
      <c r="C22" s="47">
        <f>C8</f>
        <v>1.1200000000000001E-12</v>
      </c>
      <c r="D22" s="47" t="s">
        <v>190</v>
      </c>
      <c r="E22" s="45" t="s">
        <v>190</v>
      </c>
      <c r="F22" t="s">
        <v>156</v>
      </c>
    </row>
    <row r="23" spans="1:12" x14ac:dyDescent="0.25">
      <c r="A23" t="s">
        <v>26</v>
      </c>
      <c r="B23" t="s">
        <v>20</v>
      </c>
      <c r="C23" s="47">
        <f>C9</f>
        <v>1.6099999999999998E-5</v>
      </c>
      <c r="D23" s="47" t="s">
        <v>190</v>
      </c>
      <c r="E23" s="45" t="s">
        <v>190</v>
      </c>
      <c r="F23" t="s">
        <v>156</v>
      </c>
    </row>
    <row r="24" spans="1:12" s="53" customFormat="1" x14ac:dyDescent="0.25">
      <c r="A24" s="53" t="s">
        <v>142</v>
      </c>
      <c r="B24" s="53" t="s">
        <v>20</v>
      </c>
      <c r="C24" s="54">
        <f>C10</f>
        <v>5.5620000000000003E-2</v>
      </c>
      <c r="D24" s="54">
        <f t="shared" ref="D24:E24" si="4">D10</f>
        <v>1.8180000000000002E-2</v>
      </c>
      <c r="E24" s="54">
        <f t="shared" si="4"/>
        <v>9.4500000000000015E-2</v>
      </c>
      <c r="F24" t="s">
        <v>156</v>
      </c>
      <c r="G24" s="53" t="s">
        <v>145</v>
      </c>
    </row>
    <row r="25" spans="1:12" x14ac:dyDescent="0.25">
      <c r="A25" t="s">
        <v>22</v>
      </c>
      <c r="B25" t="s">
        <v>20</v>
      </c>
      <c r="C25" s="45">
        <f>C11</f>
        <v>0.78500000000000003</v>
      </c>
      <c r="D25" s="45" t="str">
        <f>D11</f>
        <v>=</v>
      </c>
      <c r="E25" s="45" t="s">
        <v>190</v>
      </c>
      <c r="G25" t="s">
        <v>158</v>
      </c>
    </row>
    <row r="26" spans="1:12" x14ac:dyDescent="0.25">
      <c r="A26" t="s">
        <v>21</v>
      </c>
      <c r="B26" t="s">
        <v>20</v>
      </c>
      <c r="C26" s="45">
        <v>0</v>
      </c>
      <c r="D26" s="45" t="s">
        <v>190</v>
      </c>
      <c r="E26" s="45" t="s">
        <v>190</v>
      </c>
      <c r="G26" t="s">
        <v>158</v>
      </c>
    </row>
    <row r="27" spans="1:12" ht="18.75" x14ac:dyDescent="0.3">
      <c r="A27" s="55" t="s">
        <v>93</v>
      </c>
      <c r="B27" s="57"/>
      <c r="C27" s="58"/>
      <c r="D27" s="58"/>
      <c r="E27" s="58"/>
      <c r="F27" s="57"/>
    </row>
    <row r="28" spans="1:12" x14ac:dyDescent="0.25">
      <c r="A28" s="52" t="s">
        <v>13</v>
      </c>
      <c r="B28" s="52" t="s">
        <v>17</v>
      </c>
      <c r="C28" s="13" t="s">
        <v>141</v>
      </c>
      <c r="D28" s="13" t="s">
        <v>99</v>
      </c>
      <c r="E28" s="13" t="s">
        <v>177</v>
      </c>
      <c r="F28" s="52" t="s">
        <v>14</v>
      </c>
      <c r="G28" s="52" t="s">
        <v>15</v>
      </c>
    </row>
    <row r="29" spans="1:12" x14ac:dyDescent="0.25">
      <c r="A29" t="s">
        <v>45</v>
      </c>
      <c r="B29" t="s">
        <v>46</v>
      </c>
      <c r="C29" s="14">
        <f>0.4356/3.6</f>
        <v>0.121</v>
      </c>
      <c r="D29" s="14" t="s">
        <v>190</v>
      </c>
      <c r="E29" s="14" t="s">
        <v>190</v>
      </c>
      <c r="F29" t="s">
        <v>116</v>
      </c>
    </row>
    <row r="30" spans="1:12" x14ac:dyDescent="0.25">
      <c r="A30" t="s">
        <v>78</v>
      </c>
      <c r="B30" t="s">
        <v>47</v>
      </c>
      <c r="C30" s="45">
        <v>2.7854154312823534</v>
      </c>
      <c r="D30" s="45">
        <f>C30*(1-(1-D53/C53))</f>
        <v>2.228332345025883</v>
      </c>
      <c r="E30" s="45">
        <f>C30</f>
        <v>2.7854154312823534</v>
      </c>
      <c r="F30" t="s">
        <v>138</v>
      </c>
      <c r="G30" t="s">
        <v>214</v>
      </c>
    </row>
    <row r="31" spans="1:12" x14ac:dyDescent="0.25">
      <c r="A31" t="s">
        <v>117</v>
      </c>
      <c r="B31" t="s">
        <v>47</v>
      </c>
      <c r="C31" s="45">
        <f>(0.0002828+0.00000112+0.0000617)*38.6</f>
        <v>1.3340932E-2</v>
      </c>
      <c r="D31" s="14" t="s">
        <v>190</v>
      </c>
      <c r="E31" s="14" t="s">
        <v>190</v>
      </c>
      <c r="F31" t="s">
        <v>116</v>
      </c>
      <c r="G31" t="s">
        <v>118</v>
      </c>
    </row>
    <row r="32" spans="1:12" x14ac:dyDescent="0.25">
      <c r="A32" t="s">
        <v>139</v>
      </c>
      <c r="B32" t="s">
        <v>42</v>
      </c>
      <c r="C32" s="45">
        <f>(8.49+12.4)/1000</f>
        <v>2.0889999999999999E-2</v>
      </c>
      <c r="D32" s="14" t="s">
        <v>190</v>
      </c>
      <c r="E32" s="14" t="s">
        <v>190</v>
      </c>
      <c r="F32" t="s">
        <v>116</v>
      </c>
    </row>
    <row r="33" spans="1:7" x14ac:dyDescent="0.25">
      <c r="A33" t="s">
        <v>160</v>
      </c>
      <c r="B33" t="s">
        <v>42</v>
      </c>
      <c r="C33" s="47">
        <f>0.205/1000</f>
        <v>2.05E-4</v>
      </c>
      <c r="D33" s="14" t="s">
        <v>190</v>
      </c>
      <c r="E33" s="14" t="s">
        <v>190</v>
      </c>
      <c r="F33" t="s">
        <v>116</v>
      </c>
    </row>
    <row r="34" spans="1:7" x14ac:dyDescent="0.25">
      <c r="A34" t="s">
        <v>161</v>
      </c>
      <c r="B34" t="s">
        <v>42</v>
      </c>
      <c r="C34" s="47">
        <f>0.1061/1000</f>
        <v>1.061E-4</v>
      </c>
      <c r="D34" s="14" t="s">
        <v>190</v>
      </c>
      <c r="E34" s="14" t="s">
        <v>190</v>
      </c>
      <c r="F34" t="s">
        <v>116</v>
      </c>
    </row>
    <row r="35" spans="1:7" x14ac:dyDescent="0.25">
      <c r="A35" t="s">
        <v>162</v>
      </c>
      <c r="B35" t="s">
        <v>42</v>
      </c>
      <c r="C35" s="47">
        <f>0.0364/1000</f>
        <v>3.6400000000000004E-5</v>
      </c>
      <c r="D35" s="14" t="s">
        <v>190</v>
      </c>
      <c r="E35" s="14" t="s">
        <v>190</v>
      </c>
    </row>
    <row r="36" spans="1:7" x14ac:dyDescent="0.25">
      <c r="A36" t="s">
        <v>124</v>
      </c>
      <c r="B36" t="s">
        <v>82</v>
      </c>
      <c r="C36" s="47">
        <f>(0.616+0.0000218)/1000</f>
        <v>6.1602179999999996E-4</v>
      </c>
      <c r="D36" s="14" t="s">
        <v>190</v>
      </c>
      <c r="E36" s="14" t="s">
        <v>190</v>
      </c>
      <c r="F36" t="s">
        <v>116</v>
      </c>
    </row>
    <row r="37" spans="1:7" x14ac:dyDescent="0.25">
      <c r="A37" t="s">
        <v>125</v>
      </c>
      <c r="B37" t="s">
        <v>82</v>
      </c>
      <c r="C37" s="47">
        <f>(0.000105+2.286)/1000</f>
        <v>2.2861050000000001E-3</v>
      </c>
      <c r="D37" s="14" t="s">
        <v>190</v>
      </c>
      <c r="E37" s="14" t="s">
        <v>190</v>
      </c>
      <c r="F37" t="s">
        <v>116</v>
      </c>
    </row>
    <row r="38" spans="1:7" x14ac:dyDescent="0.25">
      <c r="A38" t="s">
        <v>54</v>
      </c>
      <c r="B38" t="s">
        <v>82</v>
      </c>
      <c r="C38" s="14">
        <f>57.9/1000</f>
        <v>5.79E-2</v>
      </c>
      <c r="D38" s="14" t="s">
        <v>190</v>
      </c>
      <c r="E38" s="14" t="s">
        <v>190</v>
      </c>
      <c r="F38" t="s">
        <v>116</v>
      </c>
    </row>
    <row r="39" spans="1:7" x14ac:dyDescent="0.25">
      <c r="A39" t="s">
        <v>126</v>
      </c>
      <c r="B39" t="s">
        <v>82</v>
      </c>
      <c r="C39" s="45">
        <f>160/1000</f>
        <v>0.16</v>
      </c>
      <c r="D39" s="14" t="s">
        <v>190</v>
      </c>
      <c r="E39" s="14" t="s">
        <v>190</v>
      </c>
      <c r="F39" t="s">
        <v>116</v>
      </c>
    </row>
    <row r="40" spans="1:7" x14ac:dyDescent="0.25">
      <c r="A40" t="s">
        <v>63</v>
      </c>
      <c r="B40" t="s">
        <v>42</v>
      </c>
      <c r="C40" s="45">
        <v>0.13800000000000001</v>
      </c>
      <c r="D40" s="45" t="s">
        <v>190</v>
      </c>
      <c r="E40" s="45" t="s">
        <v>190</v>
      </c>
      <c r="F40" t="s">
        <v>94</v>
      </c>
      <c r="G40" t="s">
        <v>129</v>
      </c>
    </row>
    <row r="41" spans="1:7" x14ac:dyDescent="0.25">
      <c r="A41" t="s">
        <v>209</v>
      </c>
      <c r="B41" t="s">
        <v>42</v>
      </c>
      <c r="C41" s="45">
        <f>AVERAGE(1.62,2.43)</f>
        <v>2.0250000000000004</v>
      </c>
      <c r="D41" s="45">
        <f>C41*(1-0.15)</f>
        <v>1.7212500000000002</v>
      </c>
      <c r="E41" s="45">
        <v>2.42</v>
      </c>
      <c r="F41" t="s">
        <v>165</v>
      </c>
      <c r="G41" t="s">
        <v>215</v>
      </c>
    </row>
    <row r="42" spans="1:7" x14ac:dyDescent="0.25">
      <c r="A42" t="s">
        <v>53</v>
      </c>
      <c r="B42" t="s">
        <v>42</v>
      </c>
      <c r="C42" s="14">
        <f>C41*0.2</f>
        <v>0.40500000000000008</v>
      </c>
      <c r="D42" s="45">
        <f>D41*0.15</f>
        <v>0.25818750000000001</v>
      </c>
      <c r="E42" s="14">
        <f>E41*0.2</f>
        <v>0.48399999999999999</v>
      </c>
      <c r="F42" t="s">
        <v>205</v>
      </c>
      <c r="G42" t="s">
        <v>216</v>
      </c>
    </row>
    <row r="43" spans="1:7" x14ac:dyDescent="0.25">
      <c r="A43" t="s">
        <v>208</v>
      </c>
      <c r="B43" t="s">
        <v>42</v>
      </c>
      <c r="C43" s="84">
        <f>C41*0.2</f>
        <v>0.40500000000000008</v>
      </c>
      <c r="D43" s="45">
        <f>D41*0.25</f>
        <v>0.43031250000000004</v>
      </c>
      <c r="E43" s="84">
        <f>E41*0.2</f>
        <v>0.48399999999999999</v>
      </c>
      <c r="F43" t="s">
        <v>206</v>
      </c>
      <c r="G43" t="s">
        <v>212</v>
      </c>
    </row>
    <row r="44" spans="1:7" x14ac:dyDescent="0.25">
      <c r="A44" t="s">
        <v>173</v>
      </c>
      <c r="B44" t="s">
        <v>42</v>
      </c>
      <c r="C44" s="45">
        <f>C41-C42-C43</f>
        <v>1.2150000000000003</v>
      </c>
      <c r="D44" s="45">
        <f>D41-D42-D43</f>
        <v>1.0327500000000001</v>
      </c>
      <c r="E44" s="45">
        <f>E41-E42-E43</f>
        <v>1.452</v>
      </c>
      <c r="F44" t="s">
        <v>211</v>
      </c>
      <c r="G44" t="s">
        <v>210</v>
      </c>
    </row>
    <row r="45" spans="1:7" ht="18.75" x14ac:dyDescent="0.3">
      <c r="A45" s="55" t="s">
        <v>74</v>
      </c>
      <c r="B45" s="57"/>
      <c r="C45" s="58"/>
      <c r="D45" s="58"/>
      <c r="E45" s="58"/>
      <c r="F45" s="57"/>
    </row>
    <row r="46" spans="1:7" x14ac:dyDescent="0.25">
      <c r="A46" s="52" t="s">
        <v>13</v>
      </c>
      <c r="B46" s="52" t="s">
        <v>17</v>
      </c>
      <c r="C46" s="13" t="s">
        <v>141</v>
      </c>
      <c r="D46" s="13" t="s">
        <v>99</v>
      </c>
      <c r="E46" s="13" t="s">
        <v>177</v>
      </c>
      <c r="F46" s="52" t="s">
        <v>14</v>
      </c>
      <c r="G46" s="52" t="s">
        <v>15</v>
      </c>
    </row>
    <row r="47" spans="1:7" s="62" customFormat="1" x14ac:dyDescent="0.25">
      <c r="A47" s="60" t="s">
        <v>57</v>
      </c>
      <c r="B47" s="60" t="s">
        <v>42</v>
      </c>
      <c r="C47" s="61">
        <v>1</v>
      </c>
      <c r="D47" s="61"/>
      <c r="E47" s="61"/>
      <c r="F47" s="62" t="s">
        <v>70</v>
      </c>
      <c r="G47" s="62" t="s">
        <v>71</v>
      </c>
    </row>
    <row r="48" spans="1:7" s="62" customFormat="1" x14ac:dyDescent="0.25">
      <c r="A48" s="62" t="s">
        <v>58</v>
      </c>
      <c r="B48" s="62" t="s">
        <v>42</v>
      </c>
      <c r="C48" s="63"/>
      <c r="D48" s="64"/>
      <c r="E48" s="63"/>
    </row>
    <row r="49" spans="1:7" s="53" customFormat="1" x14ac:dyDescent="0.25">
      <c r="A49" s="53" t="s">
        <v>19</v>
      </c>
      <c r="B49" s="53" t="s">
        <v>42</v>
      </c>
      <c r="C49" s="54">
        <f>AVERAGE(1.1,1.5)</f>
        <v>1.3</v>
      </c>
      <c r="D49" s="54">
        <v>1.1000000000000001</v>
      </c>
      <c r="E49" s="54">
        <v>1.5</v>
      </c>
      <c r="F49" s="53" t="s">
        <v>69</v>
      </c>
      <c r="G49" s="53" t="s">
        <v>178</v>
      </c>
    </row>
    <row r="50" spans="1:7" s="53" customFormat="1" x14ac:dyDescent="0.25">
      <c r="A50" s="53" t="s">
        <v>44</v>
      </c>
      <c r="B50" s="53" t="s">
        <v>42</v>
      </c>
      <c r="C50" s="54">
        <f>AVERAGE(1.5,1.7)</f>
        <v>1.6</v>
      </c>
      <c r="D50" s="54">
        <v>1.5</v>
      </c>
      <c r="E50" s="54">
        <v>1.7</v>
      </c>
      <c r="F50" s="53" t="s">
        <v>69</v>
      </c>
      <c r="G50" s="53" t="s">
        <v>180</v>
      </c>
    </row>
    <row r="51" spans="1:7" s="53" customFormat="1" x14ac:dyDescent="0.25">
      <c r="A51" s="53" t="s">
        <v>43</v>
      </c>
      <c r="B51" s="53" t="s">
        <v>42</v>
      </c>
      <c r="C51" s="65">
        <f>AVERAGE(0.8,2.1)/1000</f>
        <v>1.4500000000000001E-3</v>
      </c>
      <c r="D51" s="65">
        <f>0.8/1000</f>
        <v>8.0000000000000004E-4</v>
      </c>
      <c r="E51" s="65">
        <f>2.1/1000</f>
        <v>2.1000000000000003E-3</v>
      </c>
      <c r="F51" s="53" t="s">
        <v>69</v>
      </c>
      <c r="G51" s="53" t="s">
        <v>48</v>
      </c>
    </row>
    <row r="52" spans="1:7" s="53" customFormat="1" x14ac:dyDescent="0.25">
      <c r="A52" s="53" t="s">
        <v>75</v>
      </c>
      <c r="B52" s="53" t="s">
        <v>47</v>
      </c>
      <c r="C52" s="54">
        <f>AVERAGE(2.2,2.8)/1.08</f>
        <v>2.3148148148148149</v>
      </c>
      <c r="D52" s="54">
        <f>2.2/1.08</f>
        <v>2.0370370370370372</v>
      </c>
      <c r="E52" s="54">
        <f>2.8/1.08</f>
        <v>2.5925925925925921</v>
      </c>
      <c r="F52" s="53" t="s">
        <v>69</v>
      </c>
      <c r="G52" s="53" t="s">
        <v>76</v>
      </c>
    </row>
    <row r="53" spans="1:7" s="53" customFormat="1" x14ac:dyDescent="0.25">
      <c r="A53" s="53" t="s">
        <v>79</v>
      </c>
      <c r="B53" s="53" t="s">
        <v>47</v>
      </c>
      <c r="C53" s="54">
        <f>(AVERAGE(7.5,10.8)-0.9)/1.08</f>
        <v>7.6388888888888884</v>
      </c>
      <c r="D53" s="54">
        <f>(7.5-0.9)/1.08</f>
        <v>6.1111111111111107</v>
      </c>
      <c r="E53" s="54">
        <f>(10.8-0.9)/1.08</f>
        <v>9.1666666666666661</v>
      </c>
      <c r="F53" s="53" t="s">
        <v>69</v>
      </c>
      <c r="G53" s="53" t="s">
        <v>77</v>
      </c>
    </row>
    <row r="54" spans="1:7" s="53" customFormat="1" x14ac:dyDescent="0.25">
      <c r="A54" s="53" t="s">
        <v>45</v>
      </c>
      <c r="B54" s="53" t="s">
        <v>46</v>
      </c>
      <c r="C54" s="54">
        <f>AVERAGE(50,130)/1000</f>
        <v>0.09</v>
      </c>
      <c r="D54" s="54">
        <f>50/1000</f>
        <v>0.05</v>
      </c>
      <c r="E54" s="54">
        <f>130/1000</f>
        <v>0.13</v>
      </c>
      <c r="F54" s="53" t="s">
        <v>69</v>
      </c>
      <c r="G54" s="53" t="s">
        <v>52</v>
      </c>
    </row>
    <row r="55" spans="1:7" s="53" customFormat="1" x14ac:dyDescent="0.25">
      <c r="A55" s="53" t="s">
        <v>186</v>
      </c>
      <c r="B55" s="53" t="s">
        <v>42</v>
      </c>
      <c r="C55" s="54">
        <f>AVERAGE(0.05,0.35)</f>
        <v>0.19999999999999998</v>
      </c>
      <c r="D55" s="54">
        <v>0.05</v>
      </c>
      <c r="E55" s="54">
        <v>0.35</v>
      </c>
      <c r="F55" s="53" t="s">
        <v>69</v>
      </c>
      <c r="G55" s="53" t="s">
        <v>179</v>
      </c>
    </row>
    <row r="56" spans="1:7" s="53" customFormat="1" x14ac:dyDescent="0.25">
      <c r="A56" s="53" t="s">
        <v>187</v>
      </c>
      <c r="B56" s="53" t="s">
        <v>42</v>
      </c>
      <c r="C56" s="54">
        <f>AVERAGE(0.01,0.12)</f>
        <v>6.5000000000000002E-2</v>
      </c>
      <c r="D56" s="54">
        <v>0.01</v>
      </c>
      <c r="E56" s="54">
        <v>0.12</v>
      </c>
      <c r="F56" s="53" t="s">
        <v>69</v>
      </c>
      <c r="G56" s="53" t="s">
        <v>189</v>
      </c>
    </row>
    <row r="57" spans="1:7" s="53" customFormat="1" x14ac:dyDescent="0.25">
      <c r="A57" s="53" t="s">
        <v>188</v>
      </c>
      <c r="B57" s="53" t="s">
        <v>56</v>
      </c>
      <c r="C57" s="54" t="s">
        <v>153</v>
      </c>
      <c r="D57" s="54" t="s">
        <v>153</v>
      </c>
      <c r="E57" s="54" t="s">
        <v>190</v>
      </c>
      <c r="F57" s="53" t="s">
        <v>144</v>
      </c>
    </row>
    <row r="58" spans="1:7" s="53" customFormat="1" x14ac:dyDescent="0.25">
      <c r="A58" s="53" t="s">
        <v>63</v>
      </c>
      <c r="B58" s="53" t="s">
        <v>42</v>
      </c>
      <c r="C58" s="54">
        <f>AVERAGE(0.2,0.3)</f>
        <v>0.25</v>
      </c>
      <c r="D58" s="54">
        <v>0.25</v>
      </c>
      <c r="E58" s="54">
        <v>0.3</v>
      </c>
      <c r="F58" s="53" t="s">
        <v>69</v>
      </c>
      <c r="G58" s="53" t="s">
        <v>60</v>
      </c>
    </row>
    <row r="59" spans="1:7" s="53" customFormat="1" x14ac:dyDescent="0.25">
      <c r="A59" s="53" t="s">
        <v>62</v>
      </c>
      <c r="B59" s="53" t="s">
        <v>42</v>
      </c>
      <c r="C59" s="54">
        <f>9/1000</f>
        <v>8.9999999999999993E-3</v>
      </c>
      <c r="D59" s="54">
        <f>9/1000</f>
        <v>8.9999999999999993E-3</v>
      </c>
      <c r="E59" s="54" t="s">
        <v>190</v>
      </c>
      <c r="F59" s="53" t="s">
        <v>95</v>
      </c>
      <c r="G59" s="53" t="s">
        <v>96</v>
      </c>
    </row>
    <row r="60" spans="1:7" s="53" customFormat="1" x14ac:dyDescent="0.25">
      <c r="A60" s="53" t="s">
        <v>61</v>
      </c>
      <c r="B60" s="53" t="s">
        <v>42</v>
      </c>
      <c r="C60" s="54">
        <f>0.9/1000</f>
        <v>8.9999999999999998E-4</v>
      </c>
      <c r="D60" s="54">
        <f>0.9/1000</f>
        <v>8.9999999999999998E-4</v>
      </c>
      <c r="E60" s="54" t="s">
        <v>190</v>
      </c>
      <c r="F60" s="53" t="s">
        <v>69</v>
      </c>
      <c r="G60" s="53" t="s">
        <v>97</v>
      </c>
    </row>
    <row r="61" spans="1:7" s="53" customFormat="1" x14ac:dyDescent="0.25">
      <c r="A61" s="53" t="s">
        <v>65</v>
      </c>
      <c r="B61" s="53" t="s">
        <v>42</v>
      </c>
      <c r="C61" s="59">
        <f>0.193/1000</f>
        <v>1.93E-4</v>
      </c>
      <c r="D61" s="59">
        <f>0.193/1000</f>
        <v>1.93E-4</v>
      </c>
      <c r="E61" s="59" t="s">
        <v>190</v>
      </c>
      <c r="F61" s="53" t="s">
        <v>69</v>
      </c>
      <c r="G61" s="53" t="s">
        <v>64</v>
      </c>
    </row>
    <row r="62" spans="1:7" s="53" customFormat="1" x14ac:dyDescent="0.25">
      <c r="A62" s="53" t="s">
        <v>67</v>
      </c>
      <c r="B62" s="53" t="s">
        <v>42</v>
      </c>
      <c r="C62" s="59">
        <f>0.0003/1000</f>
        <v>2.9999999999999999E-7</v>
      </c>
      <c r="D62" s="59">
        <f>0.0003/1000</f>
        <v>2.9999999999999999E-7</v>
      </c>
      <c r="E62" s="59" t="s">
        <v>190</v>
      </c>
      <c r="F62" s="53" t="s">
        <v>69</v>
      </c>
      <c r="G62" s="53" t="s">
        <v>66</v>
      </c>
    </row>
    <row r="63" spans="1:7" s="53" customFormat="1" x14ac:dyDescent="0.25">
      <c r="A63" s="53" t="s">
        <v>68</v>
      </c>
      <c r="B63" s="53" t="s">
        <v>42</v>
      </c>
      <c r="C63" s="59">
        <f>0.1/1000</f>
        <v>1E-4</v>
      </c>
      <c r="D63" s="59">
        <f>0.1/1000</f>
        <v>1E-4</v>
      </c>
      <c r="E63" s="59" t="s">
        <v>190</v>
      </c>
      <c r="F63" s="53" t="s">
        <v>69</v>
      </c>
      <c r="G63" s="53" t="s">
        <v>98</v>
      </c>
    </row>
    <row r="64" spans="1:7" s="53" customFormat="1" x14ac:dyDescent="0.25">
      <c r="A64" s="53" t="s">
        <v>49</v>
      </c>
      <c r="B64" s="53" t="s">
        <v>42</v>
      </c>
      <c r="C64" s="54">
        <f>AVERAGE(0.6,1.2)/1.08</f>
        <v>0.83333333333333315</v>
      </c>
      <c r="D64" s="54">
        <f>0.6/1.08</f>
        <v>0.55555555555555547</v>
      </c>
      <c r="E64" s="54">
        <f>1.2/1.08</f>
        <v>1.1111111111111109</v>
      </c>
      <c r="F64" s="53" t="s">
        <v>69</v>
      </c>
      <c r="G64" s="53" t="s">
        <v>217</v>
      </c>
    </row>
    <row r="65" spans="1:7" s="53" customFormat="1" x14ac:dyDescent="0.25">
      <c r="A65" s="53" t="s">
        <v>51</v>
      </c>
      <c r="B65" s="53" t="s">
        <v>42</v>
      </c>
      <c r="C65" s="54">
        <f>AVERAGE(50,100)/1.08</f>
        <v>69.444444444444443</v>
      </c>
      <c r="D65" s="54">
        <f>50/1.08</f>
        <v>46.296296296296291</v>
      </c>
      <c r="E65" s="54">
        <f>100/1.08</f>
        <v>92.592592592592581</v>
      </c>
      <c r="F65" s="53" t="s">
        <v>69</v>
      </c>
      <c r="G65" s="53" t="s">
        <v>176</v>
      </c>
    </row>
    <row r="66" spans="1:7" s="53" customFormat="1" x14ac:dyDescent="0.25">
      <c r="A66" s="53" t="s">
        <v>208</v>
      </c>
      <c r="B66" s="53" t="s">
        <v>42</v>
      </c>
      <c r="C66" s="54">
        <f>AVERAGE(1.9,2.4)/1.08</f>
        <v>1.9907407407407405</v>
      </c>
      <c r="D66" s="54">
        <f>AVERAGE(1.9)/1.08</f>
        <v>1.7592592592592591</v>
      </c>
      <c r="E66" s="54">
        <f>AVERAGE(2.4)/1.08</f>
        <v>2.2222222222222219</v>
      </c>
      <c r="F66" s="53" t="s">
        <v>69</v>
      </c>
      <c r="G66" s="53" t="s">
        <v>218</v>
      </c>
    </row>
    <row r="67" spans="1:7" s="53" customFormat="1" x14ac:dyDescent="0.25">
      <c r="A67" s="53" t="s">
        <v>53</v>
      </c>
      <c r="B67" s="53" t="s">
        <v>50</v>
      </c>
      <c r="C67" s="54">
        <f>C64+C65-C66-C68</f>
        <v>64.685416666666669</v>
      </c>
      <c r="D67" s="54">
        <f t="shared" ref="D67:E67" si="5">D64+D65-D66-D68</f>
        <v>42.663425925925921</v>
      </c>
      <c r="E67" s="54">
        <f t="shared" si="5"/>
        <v>86.707407407407388</v>
      </c>
      <c r="F67" s="53" t="s">
        <v>211</v>
      </c>
      <c r="G67" s="53" t="s">
        <v>221</v>
      </c>
    </row>
    <row r="68" spans="1:7" s="53" customFormat="1" x14ac:dyDescent="0.25">
      <c r="A68" s="53" t="s">
        <v>173</v>
      </c>
      <c r="B68" s="53" t="s">
        <v>42</v>
      </c>
      <c r="C68" s="54">
        <f>(AVERAGE(1.9,2.4)/1.08*0.065)+C65*0.05</f>
        <v>3.6016203703703704</v>
      </c>
      <c r="D68" s="54">
        <f>(AVERAGE(1.9)/1.08*0.065)+D65*0.05</f>
        <v>2.4291666666666663</v>
      </c>
      <c r="E68" s="54">
        <f>(AVERAGE(2.4)/1.08*0.065)+E65*0.05</f>
        <v>4.7740740740740737</v>
      </c>
      <c r="F68" s="53" t="s">
        <v>211</v>
      </c>
      <c r="G68" s="53" t="s">
        <v>220</v>
      </c>
    </row>
    <row r="69" spans="1:7" ht="18.75" x14ac:dyDescent="0.3">
      <c r="A69" s="55" t="s">
        <v>80</v>
      </c>
      <c r="B69" s="57"/>
      <c r="C69" s="58"/>
      <c r="D69" s="58"/>
      <c r="E69" s="58"/>
      <c r="F69" s="57"/>
    </row>
    <row r="70" spans="1:7" x14ac:dyDescent="0.25">
      <c r="A70" s="52" t="s">
        <v>13</v>
      </c>
      <c r="B70" s="52" t="s">
        <v>17</v>
      </c>
      <c r="C70" s="13" t="s">
        <v>141</v>
      </c>
      <c r="D70" s="13" t="s">
        <v>99</v>
      </c>
      <c r="E70" s="13" t="s">
        <v>177</v>
      </c>
      <c r="F70" s="52" t="s">
        <v>14</v>
      </c>
      <c r="G70" s="52" t="s">
        <v>15</v>
      </c>
    </row>
    <row r="71" spans="1:7" s="62" customFormat="1" x14ac:dyDescent="0.25">
      <c r="A71" s="60" t="s">
        <v>57</v>
      </c>
      <c r="B71" s="60" t="s">
        <v>42</v>
      </c>
      <c r="C71" s="61">
        <f>C47</f>
        <v>1</v>
      </c>
      <c r="D71" s="61"/>
      <c r="E71" s="61"/>
      <c r="F71" s="62" t="s">
        <v>156</v>
      </c>
    </row>
    <row r="72" spans="1:7" s="62" customFormat="1" x14ac:dyDescent="0.25">
      <c r="A72" s="62" t="s">
        <v>58</v>
      </c>
      <c r="B72" s="62" t="s">
        <v>42</v>
      </c>
      <c r="C72" s="61">
        <f>C48</f>
        <v>0</v>
      </c>
      <c r="D72" s="61"/>
      <c r="E72" s="61"/>
      <c r="F72" s="62" t="s">
        <v>156</v>
      </c>
    </row>
    <row r="73" spans="1:7" x14ac:dyDescent="0.25">
      <c r="A73" t="s">
        <v>19</v>
      </c>
      <c r="B73" t="s">
        <v>42</v>
      </c>
      <c r="C73" s="45">
        <f>C49</f>
        <v>1.3</v>
      </c>
      <c r="D73" s="45">
        <f t="shared" ref="D73:E73" si="6">D49</f>
        <v>1.1000000000000001</v>
      </c>
      <c r="E73" s="45">
        <f t="shared" si="6"/>
        <v>1.5</v>
      </c>
      <c r="F73" t="s">
        <v>156</v>
      </c>
    </row>
    <row r="74" spans="1:7" x14ac:dyDescent="0.25">
      <c r="A74" t="s">
        <v>44</v>
      </c>
      <c r="B74" t="s">
        <v>42</v>
      </c>
      <c r="C74" s="45">
        <f t="shared" ref="C74:E74" si="7">C50</f>
        <v>1.6</v>
      </c>
      <c r="D74" s="45">
        <f t="shared" si="7"/>
        <v>1.5</v>
      </c>
      <c r="E74" s="45">
        <f t="shared" si="7"/>
        <v>1.7</v>
      </c>
      <c r="F74" t="s">
        <v>156</v>
      </c>
    </row>
    <row r="75" spans="1:7" x14ac:dyDescent="0.25">
      <c r="A75" t="s">
        <v>43</v>
      </c>
      <c r="B75" t="s">
        <v>42</v>
      </c>
      <c r="C75" s="45">
        <f t="shared" ref="C75:E75" si="8">C51</f>
        <v>1.4500000000000001E-3</v>
      </c>
      <c r="D75" s="45">
        <f t="shared" si="8"/>
        <v>8.0000000000000004E-4</v>
      </c>
      <c r="E75" s="45">
        <f t="shared" si="8"/>
        <v>2.1000000000000003E-3</v>
      </c>
      <c r="F75" t="s">
        <v>156</v>
      </c>
      <c r="G75" s="27"/>
    </row>
    <row r="76" spans="1:7" x14ac:dyDescent="0.25">
      <c r="A76" t="s">
        <v>75</v>
      </c>
      <c r="B76" t="s">
        <v>47</v>
      </c>
      <c r="C76" s="45">
        <f t="shared" ref="C76:E76" si="9">C52</f>
        <v>2.3148148148148149</v>
      </c>
      <c r="D76" s="45">
        <f t="shared" si="9"/>
        <v>2.0370370370370372</v>
      </c>
      <c r="E76" s="45">
        <f t="shared" si="9"/>
        <v>2.5925925925925921</v>
      </c>
      <c r="F76" t="s">
        <v>156</v>
      </c>
    </row>
    <row r="77" spans="1:7" x14ac:dyDescent="0.25">
      <c r="A77" t="s">
        <v>79</v>
      </c>
      <c r="B77" t="s">
        <v>47</v>
      </c>
      <c r="C77" s="45">
        <f t="shared" ref="C77:E77" si="10">C53</f>
        <v>7.6388888888888884</v>
      </c>
      <c r="D77" s="45">
        <f t="shared" si="10"/>
        <v>6.1111111111111107</v>
      </c>
      <c r="E77" s="45">
        <f t="shared" si="10"/>
        <v>9.1666666666666661</v>
      </c>
      <c r="F77" t="s">
        <v>156</v>
      </c>
    </row>
    <row r="78" spans="1:7" x14ac:dyDescent="0.25">
      <c r="A78" t="s">
        <v>89</v>
      </c>
      <c r="B78" t="s">
        <v>47</v>
      </c>
      <c r="C78" s="45">
        <f>4.26*C84</f>
        <v>0.95850000000000002</v>
      </c>
      <c r="D78" s="45">
        <f>4.26*D84</f>
        <v>0.95850000000000002</v>
      </c>
      <c r="E78" s="45">
        <f>4.26*E84</f>
        <v>1.1502000000000001</v>
      </c>
      <c r="F78" t="s">
        <v>59</v>
      </c>
      <c r="G78" t="s">
        <v>90</v>
      </c>
    </row>
    <row r="79" spans="1:7" x14ac:dyDescent="0.25">
      <c r="A79" t="s">
        <v>45</v>
      </c>
      <c r="B79" t="s">
        <v>46</v>
      </c>
      <c r="C79" s="45">
        <f>C54</f>
        <v>0.09</v>
      </c>
      <c r="D79" s="45">
        <f t="shared" ref="D79:E79" si="11">D54</f>
        <v>0.05</v>
      </c>
      <c r="E79" s="45">
        <f t="shared" si="11"/>
        <v>0.13</v>
      </c>
      <c r="F79" t="s">
        <v>156</v>
      </c>
    </row>
    <row r="80" spans="1:7" ht="14.25" customHeight="1" x14ac:dyDescent="0.25">
      <c r="A80" t="s">
        <v>81</v>
      </c>
      <c r="B80" t="s">
        <v>46</v>
      </c>
      <c r="C80" s="45">
        <f>0.13*C84</f>
        <v>2.9250000000000002E-2</v>
      </c>
      <c r="D80" s="45">
        <f t="shared" ref="D80:E80" si="12">0.13*D84</f>
        <v>2.9250000000000002E-2</v>
      </c>
      <c r="E80" s="45">
        <f t="shared" si="12"/>
        <v>3.5100000000000006E-2</v>
      </c>
      <c r="F80" t="s">
        <v>59</v>
      </c>
      <c r="G80" t="s">
        <v>91</v>
      </c>
    </row>
    <row r="81" spans="1:7" x14ac:dyDescent="0.25">
      <c r="A81" t="s">
        <v>83</v>
      </c>
      <c r="B81" t="s">
        <v>82</v>
      </c>
      <c r="C81" s="47">
        <f>0.432/1000</f>
        <v>4.3199999999999998E-4</v>
      </c>
      <c r="D81" s="47" t="s">
        <v>190</v>
      </c>
      <c r="E81" s="47" t="s">
        <v>190</v>
      </c>
      <c r="F81" t="s">
        <v>59</v>
      </c>
    </row>
    <row r="82" spans="1:7" x14ac:dyDescent="0.25">
      <c r="A82" t="s">
        <v>54</v>
      </c>
      <c r="B82" t="s">
        <v>42</v>
      </c>
      <c r="C82" s="45">
        <f>C55</f>
        <v>0.19999999999999998</v>
      </c>
      <c r="D82" s="45">
        <f t="shared" ref="D82:E82" si="13">D55</f>
        <v>0.05</v>
      </c>
      <c r="E82" s="45">
        <f t="shared" si="13"/>
        <v>0.35</v>
      </c>
      <c r="F82" t="s">
        <v>156</v>
      </c>
    </row>
    <row r="83" spans="1:7" x14ac:dyDescent="0.25">
      <c r="A83" t="s">
        <v>23</v>
      </c>
      <c r="B83" t="s">
        <v>56</v>
      </c>
      <c r="C83" s="47" t="str">
        <f>C57</f>
        <v>CONFIDENTIAL</v>
      </c>
      <c r="D83" s="47" t="str">
        <f t="shared" ref="D83:E83" si="14">D57</f>
        <v>CONFIDENTIAL</v>
      </c>
      <c r="E83" s="47" t="str">
        <f t="shared" si="14"/>
        <v>=</v>
      </c>
      <c r="F83" t="s">
        <v>156</v>
      </c>
    </row>
    <row r="84" spans="1:7" x14ac:dyDescent="0.25">
      <c r="A84" t="s">
        <v>22</v>
      </c>
      <c r="B84" t="s">
        <v>20</v>
      </c>
      <c r="C84" s="45">
        <f>C58*0.9</f>
        <v>0.22500000000000001</v>
      </c>
      <c r="D84" s="45">
        <f>D58*0.9</f>
        <v>0.22500000000000001</v>
      </c>
      <c r="E84" s="45">
        <f>E58*0.9</f>
        <v>0.27</v>
      </c>
      <c r="F84" t="s">
        <v>59</v>
      </c>
      <c r="G84" t="s">
        <v>92</v>
      </c>
    </row>
    <row r="85" spans="1:7" x14ac:dyDescent="0.25">
      <c r="A85" t="s">
        <v>63</v>
      </c>
      <c r="B85" t="s">
        <v>42</v>
      </c>
      <c r="C85" s="45">
        <f>C58*(1-0.9)</f>
        <v>2.4999999999999994E-2</v>
      </c>
      <c r="D85" s="45">
        <f t="shared" ref="D85:E85" si="15">D58*(1-0.9)</f>
        <v>2.4999999999999994E-2</v>
      </c>
      <c r="E85" s="45">
        <f t="shared" si="15"/>
        <v>2.9999999999999992E-2</v>
      </c>
      <c r="F85" t="s">
        <v>59</v>
      </c>
      <c r="G85" t="s">
        <v>84</v>
      </c>
    </row>
    <row r="86" spans="1:7" x14ac:dyDescent="0.25">
      <c r="A86" t="s">
        <v>62</v>
      </c>
      <c r="B86" t="s">
        <v>42</v>
      </c>
      <c r="C86" s="45">
        <f>C59</f>
        <v>8.9999999999999993E-3</v>
      </c>
      <c r="D86" s="45">
        <f t="shared" ref="D86:E86" si="16">D59</f>
        <v>8.9999999999999993E-3</v>
      </c>
      <c r="E86" s="45" t="str">
        <f t="shared" si="16"/>
        <v>=</v>
      </c>
      <c r="F86" t="s">
        <v>156</v>
      </c>
    </row>
    <row r="87" spans="1:7" x14ac:dyDescent="0.25">
      <c r="A87" t="s">
        <v>61</v>
      </c>
      <c r="B87" t="s">
        <v>42</v>
      </c>
      <c r="C87" s="45">
        <f>C60</f>
        <v>8.9999999999999998E-4</v>
      </c>
      <c r="D87" s="45">
        <f t="shared" ref="D87:E87" si="17">D60</f>
        <v>8.9999999999999998E-4</v>
      </c>
      <c r="E87" s="45" t="str">
        <f t="shared" si="17"/>
        <v>=</v>
      </c>
      <c r="F87" t="s">
        <v>156</v>
      </c>
    </row>
    <row r="88" spans="1:7" x14ac:dyDescent="0.25">
      <c r="A88" t="s">
        <v>65</v>
      </c>
      <c r="B88" t="s">
        <v>42</v>
      </c>
      <c r="C88" s="47">
        <f>C61</f>
        <v>1.93E-4</v>
      </c>
      <c r="D88" s="47">
        <f t="shared" ref="D88:E88" si="18">D61</f>
        <v>1.93E-4</v>
      </c>
      <c r="E88" s="47" t="str">
        <f t="shared" si="18"/>
        <v>=</v>
      </c>
      <c r="F88" t="s">
        <v>156</v>
      </c>
    </row>
    <row r="89" spans="1:7" x14ac:dyDescent="0.25">
      <c r="A89" t="s">
        <v>67</v>
      </c>
      <c r="B89" t="s">
        <v>42</v>
      </c>
      <c r="C89" s="47">
        <f>C62</f>
        <v>2.9999999999999999E-7</v>
      </c>
      <c r="D89" s="47">
        <f t="shared" ref="D89:E89" si="19">D62</f>
        <v>2.9999999999999999E-7</v>
      </c>
      <c r="E89" s="47" t="str">
        <f t="shared" si="19"/>
        <v>=</v>
      </c>
      <c r="F89" t="s">
        <v>156</v>
      </c>
    </row>
    <row r="90" spans="1:7" x14ac:dyDescent="0.25">
      <c r="A90" t="s">
        <v>68</v>
      </c>
      <c r="B90" t="s">
        <v>42</v>
      </c>
      <c r="C90" s="47">
        <f>C63</f>
        <v>1E-4</v>
      </c>
      <c r="D90" s="47">
        <f t="shared" ref="D90:E90" si="20">D63</f>
        <v>1E-4</v>
      </c>
      <c r="E90" s="47" t="str">
        <f t="shared" si="20"/>
        <v>=</v>
      </c>
      <c r="F90" t="s">
        <v>156</v>
      </c>
    </row>
    <row r="91" spans="1:7" x14ac:dyDescent="0.25">
      <c r="A91" s="53" t="s">
        <v>49</v>
      </c>
      <c r="B91" s="53" t="s">
        <v>42</v>
      </c>
      <c r="C91" s="47">
        <f t="shared" ref="C91:E95" si="21">C64</f>
        <v>0.83333333333333315</v>
      </c>
      <c r="D91" s="47">
        <f t="shared" si="21"/>
        <v>0.55555555555555547</v>
      </c>
      <c r="E91" s="47">
        <f t="shared" si="21"/>
        <v>1.1111111111111109</v>
      </c>
      <c r="F91" t="s">
        <v>156</v>
      </c>
    </row>
    <row r="92" spans="1:7" x14ac:dyDescent="0.25">
      <c r="A92" s="53" t="s">
        <v>51</v>
      </c>
      <c r="B92" s="53" t="s">
        <v>42</v>
      </c>
      <c r="C92" s="47">
        <f t="shared" si="21"/>
        <v>69.444444444444443</v>
      </c>
      <c r="D92" s="47">
        <f t="shared" si="21"/>
        <v>46.296296296296291</v>
      </c>
      <c r="E92" s="47">
        <f t="shared" si="21"/>
        <v>92.592592592592581</v>
      </c>
      <c r="F92" t="s">
        <v>156</v>
      </c>
    </row>
    <row r="93" spans="1:7" x14ac:dyDescent="0.25">
      <c r="A93" s="53" t="s">
        <v>208</v>
      </c>
      <c r="B93" s="53" t="s">
        <v>42</v>
      </c>
      <c r="C93" s="47">
        <f t="shared" si="21"/>
        <v>1.9907407407407405</v>
      </c>
      <c r="D93" s="47">
        <f t="shared" si="21"/>
        <v>1.7592592592592591</v>
      </c>
      <c r="E93" s="47">
        <f t="shared" si="21"/>
        <v>2.2222222222222219</v>
      </c>
      <c r="F93" t="s">
        <v>156</v>
      </c>
    </row>
    <row r="94" spans="1:7" x14ac:dyDescent="0.25">
      <c r="A94" s="53" t="s">
        <v>53</v>
      </c>
      <c r="B94" s="53" t="s">
        <v>50</v>
      </c>
      <c r="C94" s="47">
        <f t="shared" si="21"/>
        <v>64.685416666666669</v>
      </c>
      <c r="D94" s="47">
        <f t="shared" si="21"/>
        <v>42.663425925925921</v>
      </c>
      <c r="E94" s="47">
        <f t="shared" si="21"/>
        <v>86.707407407407388</v>
      </c>
      <c r="F94" t="s">
        <v>156</v>
      </c>
    </row>
    <row r="95" spans="1:7" s="53" customFormat="1" x14ac:dyDescent="0.25">
      <c r="A95" s="53" t="s">
        <v>173</v>
      </c>
      <c r="B95" s="53" t="s">
        <v>42</v>
      </c>
      <c r="C95" s="47">
        <f t="shared" si="21"/>
        <v>3.6016203703703704</v>
      </c>
      <c r="D95" s="47">
        <f t="shared" si="21"/>
        <v>2.4291666666666663</v>
      </c>
      <c r="E95" s="47">
        <f t="shared" si="21"/>
        <v>4.7740740740740737</v>
      </c>
      <c r="F95" t="s">
        <v>156</v>
      </c>
    </row>
    <row r="96" spans="1:7" x14ac:dyDescent="0.25">
      <c r="C96" s="45"/>
      <c r="D96" s="45"/>
      <c r="E96" s="45"/>
    </row>
  </sheetData>
  <pageMargins left="0.7" right="0.7" top="0.75" bottom="0.75" header="0.3" footer="0.3"/>
  <pageSetup paperSize="9" orientation="portrait" r:id="rId1"/>
  <headerFooter>
    <oddFooter>&amp;L_x000D_&amp;1#&amp;"Calibri"&amp;10&amp;K000000 Classified as Internal | Intern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9EAD6-8BCF-4128-8EF0-821994326ED8}">
  <dimension ref="A1:F23"/>
  <sheetViews>
    <sheetView topLeftCell="A2" workbookViewId="0">
      <selection activeCell="H41" sqref="H41"/>
    </sheetView>
  </sheetViews>
  <sheetFormatPr defaultRowHeight="15" x14ac:dyDescent="0.25"/>
  <cols>
    <col min="2" max="3" width="9.140625" style="14"/>
  </cols>
  <sheetData>
    <row r="1" spans="1:6" x14ac:dyDescent="0.25">
      <c r="A1" s="19" t="s">
        <v>35</v>
      </c>
    </row>
    <row r="2" spans="1:6" s="15" customFormat="1" ht="60" x14ac:dyDescent="0.25">
      <c r="A2" s="15" t="s">
        <v>34</v>
      </c>
      <c r="B2" s="16" t="s">
        <v>38</v>
      </c>
      <c r="C2" s="16" t="s">
        <v>39</v>
      </c>
      <c r="E2" s="16" t="s">
        <v>36</v>
      </c>
      <c r="F2" s="16" t="s">
        <v>37</v>
      </c>
    </row>
    <row r="3" spans="1:6" x14ac:dyDescent="0.25">
      <c r="A3">
        <v>2010</v>
      </c>
      <c r="B3" s="17">
        <v>12800</v>
      </c>
      <c r="C3" s="17">
        <v>34700</v>
      </c>
      <c r="E3" s="18">
        <f t="shared" ref="E3:E15" si="0">B3/SUM($B3:$C3)</f>
        <v>0.26947368421052631</v>
      </c>
      <c r="F3" s="18">
        <f t="shared" ref="F3:F15" si="1">C3/SUM($B3:$C3)</f>
        <v>0.73052631578947369</v>
      </c>
    </row>
    <row r="4" spans="1:6" x14ac:dyDescent="0.25">
      <c r="A4">
        <v>2011</v>
      </c>
      <c r="B4" s="17">
        <v>13000</v>
      </c>
      <c r="C4" s="17">
        <v>38300</v>
      </c>
      <c r="E4" s="18">
        <f t="shared" si="0"/>
        <v>0.25341130604288498</v>
      </c>
      <c r="F4" s="18">
        <f t="shared" si="1"/>
        <v>0.74658869395711502</v>
      </c>
    </row>
    <row r="5" spans="1:6" x14ac:dyDescent="0.25">
      <c r="A5">
        <v>2012</v>
      </c>
      <c r="B5" s="17">
        <v>13900</v>
      </c>
      <c r="C5" s="17">
        <v>39000</v>
      </c>
      <c r="E5" s="18">
        <f t="shared" si="0"/>
        <v>0.26275992438563328</v>
      </c>
      <c r="F5" s="18">
        <f t="shared" si="1"/>
        <v>0.73724007561436677</v>
      </c>
    </row>
    <row r="6" spans="1:6" x14ac:dyDescent="0.25">
      <c r="A6">
        <v>2013</v>
      </c>
      <c r="B6" s="17">
        <v>14400</v>
      </c>
      <c r="C6" s="17">
        <v>36900</v>
      </c>
      <c r="E6" s="18">
        <f t="shared" si="0"/>
        <v>0.2807017543859649</v>
      </c>
      <c r="F6" s="18">
        <f t="shared" si="1"/>
        <v>0.7192982456140351</v>
      </c>
    </row>
    <row r="7" spans="1:6" x14ac:dyDescent="0.25">
      <c r="A7">
        <v>2014</v>
      </c>
      <c r="B7" s="17">
        <v>14400</v>
      </c>
      <c r="C7" s="17">
        <v>36900</v>
      </c>
      <c r="E7" s="18">
        <f t="shared" si="0"/>
        <v>0.2807017543859649</v>
      </c>
      <c r="F7" s="18">
        <f t="shared" si="1"/>
        <v>0.7192982456140351</v>
      </c>
    </row>
    <row r="8" spans="1:6" x14ac:dyDescent="0.25">
      <c r="A8">
        <v>2015</v>
      </c>
      <c r="B8" s="17">
        <v>14200</v>
      </c>
      <c r="C8" s="17">
        <v>39200</v>
      </c>
      <c r="E8" s="18">
        <f t="shared" si="0"/>
        <v>0.26591760299625467</v>
      </c>
      <c r="F8" s="18">
        <f t="shared" si="1"/>
        <v>0.73408239700374533</v>
      </c>
    </row>
    <row r="9" spans="1:6" x14ac:dyDescent="0.25">
      <c r="A9">
        <v>2016</v>
      </c>
      <c r="B9" s="17">
        <v>14400</v>
      </c>
      <c r="C9" s="17">
        <v>39200</v>
      </c>
      <c r="E9" s="18">
        <f t="shared" si="0"/>
        <v>0.26865671641791045</v>
      </c>
      <c r="F9" s="18">
        <f t="shared" si="1"/>
        <v>0.73134328358208955</v>
      </c>
    </row>
    <row r="10" spans="1:6" x14ac:dyDescent="0.25">
      <c r="A10">
        <v>2017</v>
      </c>
      <c r="B10" s="17">
        <v>14500</v>
      </c>
      <c r="C10" s="17">
        <v>39500</v>
      </c>
      <c r="E10" s="18">
        <f t="shared" si="0"/>
        <v>0.26851851851851855</v>
      </c>
      <c r="F10" s="18">
        <f t="shared" si="1"/>
        <v>0.73148148148148151</v>
      </c>
    </row>
    <row r="11" spans="1:6" x14ac:dyDescent="0.25">
      <c r="A11">
        <v>2018</v>
      </c>
      <c r="B11" s="17">
        <v>16000</v>
      </c>
      <c r="C11" s="17">
        <v>41000</v>
      </c>
      <c r="E11" s="18">
        <f t="shared" si="0"/>
        <v>0.2807017543859649</v>
      </c>
      <c r="F11" s="18">
        <f t="shared" si="1"/>
        <v>0.7192982456140351</v>
      </c>
    </row>
    <row r="12" spans="1:6" x14ac:dyDescent="0.25">
      <c r="A12">
        <v>2019</v>
      </c>
      <c r="B12" s="17">
        <v>15800</v>
      </c>
      <c r="C12" s="17">
        <v>41000</v>
      </c>
      <c r="E12" s="18">
        <f t="shared" si="0"/>
        <v>0.27816901408450706</v>
      </c>
      <c r="F12" s="18">
        <f t="shared" si="1"/>
        <v>0.721830985915493</v>
      </c>
    </row>
    <row r="13" spans="1:6" x14ac:dyDescent="0.25">
      <c r="A13">
        <v>2020</v>
      </c>
      <c r="B13" s="17">
        <v>14700</v>
      </c>
      <c r="C13" s="17">
        <v>40400</v>
      </c>
      <c r="E13" s="18">
        <f t="shared" si="0"/>
        <v>0.26678765880217786</v>
      </c>
      <c r="F13" s="18">
        <f t="shared" si="1"/>
        <v>0.73321234119782219</v>
      </c>
    </row>
    <row r="14" spans="1:6" x14ac:dyDescent="0.25">
      <c r="A14">
        <v>2021</v>
      </c>
      <c r="B14" s="17">
        <v>16000</v>
      </c>
      <c r="C14" s="17">
        <v>40100</v>
      </c>
      <c r="E14" s="18">
        <f t="shared" si="0"/>
        <v>0.28520499108734404</v>
      </c>
      <c r="F14" s="18">
        <f t="shared" si="1"/>
        <v>0.71479500891265602</v>
      </c>
    </row>
    <row r="15" spans="1:6" x14ac:dyDescent="0.25">
      <c r="A15">
        <v>2022</v>
      </c>
      <c r="B15" s="17">
        <v>23400</v>
      </c>
      <c r="C15" s="17">
        <v>42100</v>
      </c>
      <c r="E15" s="18">
        <f t="shared" si="0"/>
        <v>0.35725190839694654</v>
      </c>
      <c r="F15" s="18">
        <f t="shared" si="1"/>
        <v>0.64274809160305346</v>
      </c>
    </row>
    <row r="16" spans="1:6" x14ac:dyDescent="0.25">
      <c r="A16">
        <v>2023</v>
      </c>
      <c r="B16" s="17">
        <v>23000</v>
      </c>
      <c r="C16" s="17">
        <v>45900</v>
      </c>
      <c r="E16" s="18">
        <f>B16/SUM($B16:$C16)</f>
        <v>0.33381712626995647</v>
      </c>
      <c r="F16" s="18">
        <f>C16/SUM($B16:$C16)</f>
        <v>0.66618287373004359</v>
      </c>
    </row>
    <row r="17" spans="1:6" x14ac:dyDescent="0.25">
      <c r="A17">
        <v>2024</v>
      </c>
      <c r="B17" s="17">
        <v>24000</v>
      </c>
      <c r="C17" s="17">
        <v>49000</v>
      </c>
      <c r="E17" s="18">
        <f>B17/SUM($B17:$C17)</f>
        <v>0.32876712328767121</v>
      </c>
      <c r="F17" s="18">
        <f>C17/SUM($B17:$C17)</f>
        <v>0.67123287671232879</v>
      </c>
    </row>
    <row r="19" spans="1:6" x14ac:dyDescent="0.25">
      <c r="A19">
        <v>2025</v>
      </c>
      <c r="E19" s="18">
        <f>0.000000000000001*EXP(0.0165*A19)</f>
        <v>0.32423834694808784</v>
      </c>
      <c r="F19" s="18">
        <f>1-E19</f>
        <v>0.67576165305191216</v>
      </c>
    </row>
    <row r="20" spans="1:6" x14ac:dyDescent="0.25">
      <c r="A20">
        <v>2030</v>
      </c>
      <c r="E20" s="18">
        <f t="shared" ref="E20:E21" si="2">0.000000000000001*EXP(0.0165*A20)</f>
        <v>0.35212241466369704</v>
      </c>
      <c r="F20" s="18">
        <f t="shared" ref="F20:F23" si="3">1-E20</f>
        <v>0.64787758533630302</v>
      </c>
    </row>
    <row r="21" spans="1:6" x14ac:dyDescent="0.25">
      <c r="A21">
        <v>2035</v>
      </c>
      <c r="E21" s="18">
        <f t="shared" si="2"/>
        <v>0.38240447521293092</v>
      </c>
      <c r="F21" s="18">
        <f t="shared" si="3"/>
        <v>0.61759552478706903</v>
      </c>
    </row>
    <row r="22" spans="1:6" x14ac:dyDescent="0.25">
      <c r="A22">
        <v>2040</v>
      </c>
      <c r="E22" s="18">
        <f t="shared" ref="E22:E23" si="4">0.000000000000001*EXP(0.0165*A22)</f>
        <v>0.41529075279840283</v>
      </c>
      <c r="F22" s="18">
        <f t="shared" si="3"/>
        <v>0.58470924720159712</v>
      </c>
    </row>
    <row r="23" spans="1:6" x14ac:dyDescent="0.25">
      <c r="A23">
        <v>2050</v>
      </c>
      <c r="E23" s="18">
        <f t="shared" si="4"/>
        <v>0.48979105611490903</v>
      </c>
      <c r="F23" s="18">
        <f t="shared" si="3"/>
        <v>0.51020894388509097</v>
      </c>
    </row>
  </sheetData>
  <hyperlinks>
    <hyperlink ref="A1" r:id="rId1" xr:uid="{1C6742FB-CE1C-4BF7-ABD8-A57B323D7F55}"/>
  </hyperlinks>
  <pageMargins left="0.7" right="0.7" top="0.75" bottom="0.75" header="0.3" footer="0.3"/>
  <pageSetup paperSize="9" orientation="portrait" r:id="rId2"/>
  <headerFooter>
    <oddFooter>&amp;L_x000D_&amp;1#&amp;"Calibri"&amp;10&amp;K000000 Classified as Internal | Intern</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EFF46-DEA5-400C-A124-2741B3AFA9DD}">
  <dimension ref="A1:I10"/>
  <sheetViews>
    <sheetView topLeftCell="A2" workbookViewId="0">
      <selection activeCell="C28" sqref="C27:C28"/>
    </sheetView>
  </sheetViews>
  <sheetFormatPr defaultRowHeight="15" x14ac:dyDescent="0.25"/>
  <cols>
    <col min="1" max="1" width="51.42578125" customWidth="1"/>
    <col min="2" max="2" width="13.140625" customWidth="1"/>
    <col min="3" max="3" width="11.42578125" bestFit="1" customWidth="1"/>
    <col min="4" max="4" width="13.28515625" bestFit="1" customWidth="1"/>
    <col min="5" max="5" width="9.5703125" bestFit="1" customWidth="1"/>
    <col min="7" max="7" width="11.7109375" customWidth="1"/>
    <col min="8" max="8" width="14.42578125" bestFit="1" customWidth="1"/>
  </cols>
  <sheetData>
    <row r="1" spans="1:9" ht="21" x14ac:dyDescent="0.35">
      <c r="A1" s="48" t="s">
        <v>136</v>
      </c>
    </row>
    <row r="2" spans="1:9" x14ac:dyDescent="0.25">
      <c r="A2" s="19" t="s">
        <v>135</v>
      </c>
    </row>
    <row r="4" spans="1:9" x14ac:dyDescent="0.25">
      <c r="A4" t="s">
        <v>119</v>
      </c>
      <c r="B4" s="46" t="s">
        <v>121</v>
      </c>
      <c r="C4" s="46" t="s">
        <v>17</v>
      </c>
      <c r="D4" s="46" t="s">
        <v>127</v>
      </c>
      <c r="E4" s="46" t="s">
        <v>123</v>
      </c>
      <c r="H4" s="46" t="s">
        <v>47</v>
      </c>
      <c r="I4" s="46" t="s">
        <v>137</v>
      </c>
    </row>
    <row r="5" spans="1:9" x14ac:dyDescent="0.25">
      <c r="A5" t="s">
        <v>130</v>
      </c>
      <c r="B5" s="46">
        <f>107.8*0.45359237/1000</f>
        <v>4.8897257486000004E-2</v>
      </c>
      <c r="C5" s="46" t="s">
        <v>120</v>
      </c>
      <c r="D5">
        <v>29</v>
      </c>
      <c r="E5" s="27">
        <f>B5*D5</f>
        <v>1.4180204670940002</v>
      </c>
      <c r="G5" t="s">
        <v>12</v>
      </c>
      <c r="H5" s="27">
        <f>E5</f>
        <v>1.4180204670940002</v>
      </c>
      <c r="I5" s="50">
        <f>H5/$H$8</f>
        <v>0.59892659253479097</v>
      </c>
    </row>
    <row r="6" spans="1:9" x14ac:dyDescent="0.25">
      <c r="A6" t="s">
        <v>131</v>
      </c>
      <c r="B6" s="46">
        <f>0.067*3.78541/1000</f>
        <v>2.5362247000000002E-4</v>
      </c>
      <c r="C6" s="46" t="s">
        <v>122</v>
      </c>
      <c r="D6">
        <v>20.8</v>
      </c>
      <c r="E6" s="27">
        <f>B6*D6</f>
        <v>5.2753473760000008E-3</v>
      </c>
      <c r="G6" t="s">
        <v>8</v>
      </c>
      <c r="H6" s="27">
        <f>E8</f>
        <v>0.9168555088</v>
      </c>
      <c r="I6" s="50">
        <f t="shared" ref="I6:I7" si="0">H6/$H$8</f>
        <v>0.38725050764442487</v>
      </c>
    </row>
    <row r="7" spans="1:9" x14ac:dyDescent="0.25">
      <c r="A7" t="s">
        <v>132</v>
      </c>
      <c r="B7" s="46">
        <f>0.185*3.78541/1000</f>
        <v>7.0030085000000002E-4</v>
      </c>
      <c r="C7" s="46" t="s">
        <v>122</v>
      </c>
      <c r="D7">
        <v>39.200000000000003</v>
      </c>
      <c r="E7" s="27">
        <f>B7*D7</f>
        <v>2.7451793320000004E-2</v>
      </c>
      <c r="G7" t="s">
        <v>10</v>
      </c>
      <c r="H7" s="27">
        <f>E6+E7</f>
        <v>3.2727140696000002E-2</v>
      </c>
      <c r="I7" s="50">
        <f t="shared" si="0"/>
        <v>1.382289982078419E-2</v>
      </c>
    </row>
    <row r="8" spans="1:9" x14ac:dyDescent="0.25">
      <c r="A8" t="s">
        <v>133</v>
      </c>
      <c r="B8" s="46">
        <f>797.5*0.0283168/1000</f>
        <v>2.2582648E-2</v>
      </c>
      <c r="C8" s="46" t="s">
        <v>134</v>
      </c>
      <c r="D8">
        <v>40.6</v>
      </c>
      <c r="E8" s="27">
        <f>B8*D8</f>
        <v>0.9168555088</v>
      </c>
      <c r="H8" s="49">
        <f>SUM(H5:H7)</f>
        <v>2.3676031165900002</v>
      </c>
      <c r="I8" s="51">
        <f>H8/0.85</f>
        <v>2.7854154312823534</v>
      </c>
    </row>
    <row r="9" spans="1:9" x14ac:dyDescent="0.25">
      <c r="D9">
        <v>39.200000000000003</v>
      </c>
      <c r="E9" s="27">
        <f>B9*D9</f>
        <v>0</v>
      </c>
    </row>
    <row r="10" spans="1:9" x14ac:dyDescent="0.25">
      <c r="D10" s="19" t="s">
        <v>128</v>
      </c>
      <c r="E10" s="49">
        <f>SUM(E5:E9)</f>
        <v>2.3676031165900002</v>
      </c>
    </row>
  </sheetData>
  <hyperlinks>
    <hyperlink ref="A2" r:id="rId1" display="https://lcacommons.gov/lca-collaboration/National_Renewable_Energy_Laboratory/USLCI_Database_Public/dataset/PROCESS/0d95cc8b-a9a0-3630-a760-1ab4d88257d8?commitId=7d7143983462ce7c48bf8d64bccbe5cafda11c45?gladview=true" xr:uid="{82F624E6-7B50-4264-836B-039A4D2CD2CD}"/>
    <hyperlink ref="D10" r:id="rId2" xr:uid="{A8B928DA-DA94-48FA-8743-50428E6493A2}"/>
  </hyperlinks>
  <pageMargins left="0.7" right="0.7" top="0.75" bottom="0.75" header="0.3" footer="0.3"/>
  <headerFooter>
    <oddFooter>&amp;L_x000D_&amp;1#&amp;"Calibri"&amp;10&amp;K000000 Classified as Internal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D9129-B2BB-4B28-979F-4C0D6B54839A}">
  <dimension ref="A1:U25"/>
  <sheetViews>
    <sheetView workbookViewId="0">
      <selection activeCell="A14" sqref="A14:C25"/>
    </sheetView>
  </sheetViews>
  <sheetFormatPr defaultRowHeight="15" x14ac:dyDescent="0.25"/>
  <cols>
    <col min="1" max="1" width="20.140625" customWidth="1"/>
    <col min="2" max="2" width="9.5703125" customWidth="1"/>
    <col min="3" max="3" width="9" customWidth="1"/>
    <col min="4" max="4" width="10.5703125" bestFit="1" customWidth="1"/>
    <col min="5" max="5" width="11.85546875" customWidth="1"/>
    <col min="8" max="11" width="10.42578125" customWidth="1"/>
    <col min="12" max="12" width="79.5703125" customWidth="1"/>
    <col min="13" max="13" width="10.42578125" customWidth="1"/>
    <col min="16" max="16" width="18.42578125" bestFit="1" customWidth="1"/>
  </cols>
  <sheetData>
    <row r="1" spans="1:21" ht="23.25" x14ac:dyDescent="0.35">
      <c r="A1" s="72" t="s">
        <v>197</v>
      </c>
    </row>
    <row r="3" spans="1:21" x14ac:dyDescent="0.25">
      <c r="A3" s="68" t="s">
        <v>17</v>
      </c>
      <c r="B3" s="92" t="s">
        <v>194</v>
      </c>
      <c r="C3" s="92"/>
      <c r="D3" s="92"/>
      <c r="E3" s="92"/>
      <c r="F3" s="92"/>
      <c r="G3" s="92"/>
      <c r="H3" s="92"/>
      <c r="I3" s="92"/>
      <c r="J3" s="92"/>
      <c r="K3" s="92"/>
      <c r="L3" s="96" t="s">
        <v>15</v>
      </c>
      <c r="M3" s="13"/>
    </row>
    <row r="4" spans="1:21" x14ac:dyDescent="0.25">
      <c r="A4" s="99" t="s">
        <v>191</v>
      </c>
      <c r="B4" s="98" t="s">
        <v>192</v>
      </c>
      <c r="C4" s="98"/>
      <c r="D4" s="98"/>
      <c r="E4" s="92" t="s">
        <v>195</v>
      </c>
      <c r="F4" s="92"/>
      <c r="G4" s="92"/>
      <c r="H4" s="92"/>
      <c r="I4" s="89" t="s">
        <v>199</v>
      </c>
      <c r="J4" s="90"/>
      <c r="K4" s="91"/>
      <c r="L4" s="96"/>
      <c r="M4" s="13"/>
    </row>
    <row r="5" spans="1:21" s="74" customFormat="1" ht="30" x14ac:dyDescent="0.25">
      <c r="A5" s="99"/>
      <c r="B5" s="73" t="s">
        <v>141</v>
      </c>
      <c r="C5" s="73" t="s">
        <v>99</v>
      </c>
      <c r="D5" s="73" t="s">
        <v>177</v>
      </c>
      <c r="E5" s="73" t="s">
        <v>198</v>
      </c>
      <c r="F5" s="73" t="s">
        <v>141</v>
      </c>
      <c r="G5" s="73" t="s">
        <v>99</v>
      </c>
      <c r="H5" s="73" t="s">
        <v>177</v>
      </c>
      <c r="I5" s="73" t="s">
        <v>141</v>
      </c>
      <c r="J5" s="73" t="s">
        <v>99</v>
      </c>
      <c r="K5" s="73" t="s">
        <v>177</v>
      </c>
      <c r="L5" s="96"/>
      <c r="M5" s="75"/>
    </row>
    <row r="6" spans="1:21" x14ac:dyDescent="0.25">
      <c r="A6" s="93" t="s">
        <v>196</v>
      </c>
      <c r="B6" s="94"/>
      <c r="C6" s="94"/>
      <c r="D6" s="94"/>
      <c r="E6" s="94"/>
      <c r="F6" s="94"/>
      <c r="G6" s="94"/>
      <c r="H6" s="94"/>
      <c r="I6" s="94"/>
      <c r="J6" s="94"/>
      <c r="K6" s="95"/>
      <c r="L6" s="82"/>
    </row>
    <row r="7" spans="1:21" s="80" customFormat="1" ht="30" x14ac:dyDescent="0.25">
      <c r="A7" s="76" t="s">
        <v>193</v>
      </c>
      <c r="B7" s="77">
        <f>AVERAGE(1.9,2.4)/1.08</f>
        <v>1.9907407407407405</v>
      </c>
      <c r="C7" s="77">
        <f>AVERAGE(1.9)/1.08</f>
        <v>1.7592592592592591</v>
      </c>
      <c r="D7" s="77">
        <f>AVERAGE(2.4)/1.08</f>
        <v>2.2222222222222219</v>
      </c>
      <c r="E7" s="78">
        <v>6.6543846720707442E-2</v>
      </c>
      <c r="F7" s="77">
        <f>B7*$E$7</f>
        <v>0.13247154671251943</v>
      </c>
      <c r="G7" s="77">
        <f>C7*$E$7</f>
        <v>0.11706787849013345</v>
      </c>
      <c r="H7" s="77">
        <f>D7*$E$7</f>
        <v>0.14787521493490541</v>
      </c>
      <c r="I7" s="77" t="s">
        <v>100</v>
      </c>
      <c r="J7" s="77" t="s">
        <v>100</v>
      </c>
      <c r="K7" s="77" t="s">
        <v>100</v>
      </c>
      <c r="L7" s="81" t="s">
        <v>204</v>
      </c>
      <c r="M7" s="79"/>
    </row>
    <row r="8" spans="1:21" x14ac:dyDescent="0.25">
      <c r="A8" s="69" t="s">
        <v>200</v>
      </c>
      <c r="B8" s="70" t="s">
        <v>100</v>
      </c>
      <c r="C8" s="70" t="s">
        <v>100</v>
      </c>
      <c r="D8" s="70" t="s">
        <v>100</v>
      </c>
      <c r="E8" s="70" t="s">
        <v>100</v>
      </c>
      <c r="F8" s="70" t="s">
        <v>100</v>
      </c>
      <c r="G8" s="70" t="s">
        <v>100</v>
      </c>
      <c r="H8" s="70" t="s">
        <v>100</v>
      </c>
      <c r="I8" s="70" t="s">
        <v>100</v>
      </c>
      <c r="J8" s="70" t="s">
        <v>100</v>
      </c>
      <c r="K8" s="70" t="s">
        <v>100</v>
      </c>
      <c r="L8" s="82" t="s">
        <v>201</v>
      </c>
      <c r="M8" s="45"/>
    </row>
    <row r="9" spans="1:21" x14ac:dyDescent="0.25">
      <c r="A9" s="69" t="s">
        <v>202</v>
      </c>
      <c r="B9" s="70">
        <f>AVERAGE(0.6,1.2)/1.08</f>
        <v>0.83333333333333315</v>
      </c>
      <c r="C9" s="70">
        <f>AVERAGE(0.6)/1.08</f>
        <v>0.55555555555555547</v>
      </c>
      <c r="D9" s="70">
        <f>1.2/1.08</f>
        <v>1.1111111111111109</v>
      </c>
      <c r="E9" s="71" t="s">
        <v>100</v>
      </c>
      <c r="F9" s="77" t="s">
        <v>100</v>
      </c>
      <c r="G9" s="77" t="s">
        <v>100</v>
      </c>
      <c r="H9" s="77" t="s">
        <v>100</v>
      </c>
      <c r="I9" s="70"/>
      <c r="J9" s="70"/>
      <c r="K9" s="70"/>
      <c r="L9" s="83"/>
      <c r="M9" s="45"/>
    </row>
    <row r="10" spans="1:21" s="80" customFormat="1" ht="78.75" customHeight="1" x14ac:dyDescent="0.25">
      <c r="A10" s="76" t="s">
        <v>203</v>
      </c>
      <c r="B10" s="77">
        <f>AVERAGE(50,100)/1.08</f>
        <v>69.444444444444443</v>
      </c>
      <c r="C10" s="77">
        <f>50/1.08</f>
        <v>46.296296296296291</v>
      </c>
      <c r="D10" s="77">
        <f>100/1.08</f>
        <v>92.592592592592581</v>
      </c>
      <c r="E10" s="78">
        <v>0.05</v>
      </c>
      <c r="F10" s="77">
        <f>B10*$E$7</f>
        <v>4.6211004667157942</v>
      </c>
      <c r="G10" s="77">
        <f>C10*$E$7</f>
        <v>3.080733644477196</v>
      </c>
      <c r="H10" s="77">
        <f>D10*$E$7</f>
        <v>6.161467288954392</v>
      </c>
      <c r="I10" s="77"/>
      <c r="J10" s="77"/>
      <c r="K10" s="77"/>
      <c r="L10" s="87" t="s">
        <v>219</v>
      </c>
      <c r="M10" s="79"/>
    </row>
    <row r="11" spans="1:21" x14ac:dyDescent="0.25">
      <c r="U11" s="14"/>
    </row>
    <row r="12" spans="1:21" x14ac:dyDescent="0.25">
      <c r="A12" t="s">
        <v>170</v>
      </c>
      <c r="B12" s="14"/>
      <c r="C12" s="14"/>
      <c r="D12" s="14"/>
      <c r="E12" s="14"/>
      <c r="U12" s="14"/>
    </row>
    <row r="13" spans="1:21" x14ac:dyDescent="0.25">
      <c r="B13" s="97" t="s">
        <v>55</v>
      </c>
      <c r="C13" s="97"/>
      <c r="D13" s="97"/>
      <c r="E13" s="97"/>
      <c r="U13" s="13"/>
    </row>
    <row r="14" spans="1:21" x14ac:dyDescent="0.25">
      <c r="A14" t="s">
        <v>181</v>
      </c>
      <c r="B14" s="13" t="s">
        <v>171</v>
      </c>
      <c r="C14" s="13" t="s">
        <v>172</v>
      </c>
      <c r="D14" s="13"/>
      <c r="E14" s="13"/>
      <c r="U14" s="14"/>
    </row>
    <row r="15" spans="1:21" x14ac:dyDescent="0.25">
      <c r="A15" t="s">
        <v>49</v>
      </c>
      <c r="B15" s="14">
        <f>0.00113*1000</f>
        <v>1.1299999999999999</v>
      </c>
      <c r="C15" s="14"/>
      <c r="U15" s="14"/>
    </row>
    <row r="16" spans="1:21" x14ac:dyDescent="0.25">
      <c r="A16" t="s">
        <v>51</v>
      </c>
      <c r="B16" s="14">
        <f>0.0369*1000</f>
        <v>36.900000000000006</v>
      </c>
      <c r="C16" s="14"/>
      <c r="U16" s="14"/>
    </row>
    <row r="17" spans="1:21" x14ac:dyDescent="0.25">
      <c r="A17" s="80" t="s">
        <v>53</v>
      </c>
      <c r="B17" s="85"/>
      <c r="C17" s="85">
        <f>0.0235*1000</f>
        <v>23.5</v>
      </c>
      <c r="U17" s="14"/>
    </row>
    <row r="18" spans="1:21" x14ac:dyDescent="0.25">
      <c r="A18" t="s">
        <v>173</v>
      </c>
      <c r="B18" s="14"/>
      <c r="C18" s="14">
        <f>0.0145*1000</f>
        <v>14.5</v>
      </c>
      <c r="D18" s="14"/>
      <c r="E18" s="14"/>
      <c r="U18" s="14"/>
    </row>
    <row r="19" spans="1:21" x14ac:dyDescent="0.25">
      <c r="A19" t="s">
        <v>182</v>
      </c>
      <c r="B19" s="45">
        <f>SUM(B15:B18)</f>
        <v>38.030000000000008</v>
      </c>
      <c r="C19" s="45"/>
      <c r="D19" s="66"/>
      <c r="E19" s="14"/>
      <c r="U19" s="14"/>
    </row>
    <row r="20" spans="1:21" x14ac:dyDescent="0.25">
      <c r="A20" t="s">
        <v>183</v>
      </c>
      <c r="B20" s="45"/>
      <c r="C20" s="45">
        <f>SUM(C15:C18)</f>
        <v>38</v>
      </c>
      <c r="D20" s="14"/>
      <c r="E20" s="45"/>
      <c r="U20" s="14"/>
    </row>
    <row r="21" spans="1:21" x14ac:dyDescent="0.25">
      <c r="A21" t="s">
        <v>185</v>
      </c>
      <c r="B21" s="14"/>
      <c r="C21" s="45">
        <f>B19-C20</f>
        <v>3.0000000000008242E-2</v>
      </c>
      <c r="D21" s="14"/>
      <c r="E21" s="14"/>
      <c r="Q21" s="14"/>
      <c r="R21" s="14"/>
      <c r="S21" s="14"/>
      <c r="T21" s="14"/>
      <c r="U21" s="14"/>
    </row>
    <row r="22" spans="1:21" x14ac:dyDescent="0.25">
      <c r="Q22" s="14"/>
      <c r="R22" s="14"/>
      <c r="S22" s="14"/>
      <c r="T22" s="14"/>
      <c r="U22" s="14"/>
    </row>
    <row r="23" spans="1:21" x14ac:dyDescent="0.25">
      <c r="A23" t="s">
        <v>174</v>
      </c>
      <c r="B23" s="44">
        <f>C18/B19</f>
        <v>0.38127793846962915</v>
      </c>
      <c r="Q23" s="14"/>
      <c r="R23" s="47"/>
      <c r="S23" s="47"/>
      <c r="T23" s="67"/>
      <c r="U23" s="14"/>
    </row>
    <row r="24" spans="1:21" x14ac:dyDescent="0.25">
      <c r="A24" t="s">
        <v>175</v>
      </c>
      <c r="B24" s="44">
        <f>C17/B19</f>
        <v>0.61793321062319206</v>
      </c>
      <c r="Q24" s="14"/>
      <c r="R24" s="47"/>
      <c r="S24" s="14"/>
      <c r="T24" s="14"/>
      <c r="U24" s="14"/>
    </row>
    <row r="25" spans="1:21" x14ac:dyDescent="0.25">
      <c r="A25" s="80" t="s">
        <v>184</v>
      </c>
      <c r="B25" s="86">
        <f>C21/B19</f>
        <v>7.8885090717875986E-4</v>
      </c>
    </row>
  </sheetData>
  <mergeCells count="9">
    <mergeCell ref="I4:K4"/>
    <mergeCell ref="B3:K3"/>
    <mergeCell ref="A6:K6"/>
    <mergeCell ref="L3:L5"/>
    <mergeCell ref="B13:C13"/>
    <mergeCell ref="D13:E13"/>
    <mergeCell ref="B4:D4"/>
    <mergeCell ref="A4:A5"/>
    <mergeCell ref="E4:H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A5939-445A-427B-B75E-56F49240419A}">
  <dimension ref="A1:B4"/>
  <sheetViews>
    <sheetView workbookViewId="0">
      <selection activeCell="B4" sqref="B4"/>
    </sheetView>
  </sheetViews>
  <sheetFormatPr defaultRowHeight="15" x14ac:dyDescent="0.25"/>
  <cols>
    <col min="1" max="1" width="29.7109375" bestFit="1" customWidth="1"/>
  </cols>
  <sheetData>
    <row r="1" spans="1:2" x14ac:dyDescent="0.25">
      <c r="A1" t="s">
        <v>164</v>
      </c>
      <c r="B1" s="19" t="s">
        <v>163</v>
      </c>
    </row>
    <row r="2" spans="1:2" x14ac:dyDescent="0.25">
      <c r="A2" t="s">
        <v>166</v>
      </c>
      <c r="B2" s="19" t="s">
        <v>167</v>
      </c>
    </row>
    <row r="3" spans="1:2" x14ac:dyDescent="0.25">
      <c r="A3" t="s">
        <v>168</v>
      </c>
      <c r="B3" s="19" t="s">
        <v>169</v>
      </c>
    </row>
    <row r="4" spans="1:2" x14ac:dyDescent="0.25">
      <c r="A4" t="s">
        <v>206</v>
      </c>
      <c r="B4" s="19" t="s">
        <v>207</v>
      </c>
    </row>
  </sheetData>
  <hyperlinks>
    <hyperlink ref="B1" r:id="rId1" xr:uid="{9889D743-5121-4586-96DE-90EF65E6FCB4}"/>
    <hyperlink ref="B2" r:id="rId2" xr:uid="{038D86CD-5F35-41B7-B282-6C6FF4818753}"/>
    <hyperlink ref="B3" r:id="rId3" xr:uid="{5C0D61B2-5794-4542-9D83-62533815F1A8}"/>
    <hyperlink ref="B4" r:id="rId4" xr:uid="{FA918047-4A85-4713-806B-5F01E6AE158E}"/>
  </hyperlinks>
  <pageMargins left="0.7" right="0.7" top="0.75" bottom="0.75" header="0.3" footer="0.3"/>
</worksheet>
</file>

<file path=docMetadata/LabelInfo.xml><?xml version="1.0" encoding="utf-8"?>
<clbl:labelList xmlns:clbl="http://schemas.microsoft.com/office/2020/mipLabelMetadata">
  <clbl:label id="{d465f887-04a9-4c17-8b62-103eddccf68b}" enabled="1" method="Standard" siteId="{ca2a7f76-dbd7-4ec0-9108-6b3d524fb7c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scenarios</vt:lpstr>
      <vt:lpstr>lcis</vt:lpstr>
      <vt:lpstr>Soda ash_USGS</vt:lpstr>
      <vt:lpstr>Trona soda ash fuel_US EPA</vt:lpstr>
      <vt:lpstr>Soda ash Water balance</vt:lpstr>
      <vt:lpstr>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Istrate, I.R. (Robert)</dc:creator>
  <cp:lastModifiedBy>Istrate, I.R. (Robert)</cp:lastModifiedBy>
  <dcterms:created xsi:type="dcterms:W3CDTF">2015-06-05T18:19:34Z</dcterms:created>
  <dcterms:modified xsi:type="dcterms:W3CDTF">2025-11-14T18:03:12Z</dcterms:modified>
</cp:coreProperties>
</file>