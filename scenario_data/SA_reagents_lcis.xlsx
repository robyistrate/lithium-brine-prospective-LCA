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490" documentId="13_ncr:1_{C4524105-2536-4029-AB93-C7F480F6810B}" xr6:coauthVersionLast="47" xr6:coauthVersionMax="47" xr10:uidLastSave="{94E35EAA-3160-4C74-A26D-1737C032E0A1}"/>
  <bookViews>
    <workbookView xWindow="0" yWindow="585" windowWidth="28800" windowHeight="15225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8" i="2" l="1"/>
  <c r="X58" i="2"/>
  <c r="Y58" i="2"/>
  <c r="AB59" i="2"/>
  <c r="AA59" i="2"/>
  <c r="Z59" i="2"/>
  <c r="S59" i="2"/>
  <c r="R59" i="2"/>
  <c r="Q59" i="2"/>
  <c r="P58" i="2"/>
  <c r="O58" i="2"/>
  <c r="N58" i="2"/>
  <c r="S49" i="2"/>
  <c r="R49" i="2"/>
  <c r="Q49" i="2"/>
  <c r="P49" i="2"/>
  <c r="O49" i="2"/>
  <c r="N49" i="2"/>
  <c r="M49" i="2"/>
  <c r="L49" i="2"/>
  <c r="K49" i="2"/>
  <c r="S48" i="2"/>
  <c r="R48" i="2"/>
  <c r="Q48" i="2"/>
  <c r="P48" i="2"/>
  <c r="O48" i="2"/>
  <c r="N48" i="2"/>
  <c r="M48" i="2"/>
  <c r="L48" i="2"/>
  <c r="K48" i="2"/>
  <c r="S47" i="2"/>
  <c r="R47" i="2"/>
  <c r="Q47" i="2"/>
  <c r="P47" i="2"/>
  <c r="O47" i="2"/>
  <c r="N47" i="2"/>
  <c r="M47" i="2"/>
  <c r="L47" i="2"/>
  <c r="K47" i="2"/>
  <c r="S46" i="2"/>
  <c r="R46" i="2"/>
  <c r="Q46" i="2"/>
  <c r="P46" i="2"/>
  <c r="O46" i="2"/>
  <c r="N46" i="2"/>
  <c r="M46" i="2"/>
  <c r="L46" i="2"/>
  <c r="K46" i="2"/>
  <c r="S35" i="2"/>
  <c r="R35" i="2"/>
  <c r="Q35" i="2"/>
  <c r="P35" i="2"/>
  <c r="O35" i="2"/>
  <c r="N35" i="2"/>
  <c r="M35" i="2"/>
  <c r="L35" i="2"/>
  <c r="S34" i="2"/>
  <c r="R34" i="2"/>
  <c r="Q34" i="2"/>
  <c r="P34" i="2"/>
  <c r="O34" i="2"/>
  <c r="N34" i="2"/>
  <c r="M34" i="2"/>
  <c r="L34" i="2"/>
  <c r="S33" i="2"/>
  <c r="R33" i="2"/>
  <c r="Q33" i="2"/>
  <c r="P33" i="2"/>
  <c r="O33" i="2"/>
  <c r="N33" i="2"/>
  <c r="M33" i="2"/>
  <c r="L33" i="2"/>
  <c r="S32" i="2"/>
  <c r="R32" i="2"/>
  <c r="Q32" i="2"/>
  <c r="P32" i="2"/>
  <c r="O32" i="2"/>
  <c r="N32" i="2"/>
  <c r="M32" i="2"/>
  <c r="L32" i="2"/>
  <c r="K35" i="2"/>
  <c r="K34" i="2"/>
  <c r="K33" i="2"/>
  <c r="K32" i="2"/>
</calcChain>
</file>

<file path=xl/sharedStrings.xml><?xml version="1.0" encoding="utf-8"?>
<sst xmlns="http://schemas.openxmlformats.org/spreadsheetml/2006/main" count="494" uniqueCount="70">
  <si>
    <t>to_reference product</t>
  </si>
  <si>
    <t>to_process</t>
  </si>
  <si>
    <t>to_location</t>
  </si>
  <si>
    <t>to_database</t>
  </si>
  <si>
    <t>technosphere</t>
  </si>
  <si>
    <t>from_reference_product</t>
  </si>
  <si>
    <t>from_process</t>
  </si>
  <si>
    <t>from_location</t>
  </si>
  <si>
    <t>from_type</t>
  </si>
  <si>
    <t>from_database</t>
  </si>
  <si>
    <t>market group for electricity, medium voltage</t>
  </si>
  <si>
    <t>electricity, medium voltage</t>
  </si>
  <si>
    <t>from_categories</t>
  </si>
  <si>
    <t>quicklime, milled, loose</t>
  </si>
  <si>
    <t>quicklime production, PFRK, milled, loose</t>
  </si>
  <si>
    <t>GLO</t>
  </si>
  <si>
    <t>market for limestone, crushed, washed</t>
  </si>
  <si>
    <t>limestone, crushed, washed</t>
  </si>
  <si>
    <t>RoW</t>
  </si>
  <si>
    <t>heat production, at hard coal industrial furnace 1-10MW</t>
  </si>
  <si>
    <t>heat, district or industrial, other than natural gas</t>
  </si>
  <si>
    <t>heat production, natural gas, at industrial furnace &gt;100kW</t>
  </si>
  <si>
    <t>heat, district or industrial, natural gas</t>
  </si>
  <si>
    <t>heat production, wood chips from industry, at furnace 1000kW, state-of-the-art 2014</t>
  </si>
  <si>
    <t>market for inert waste, for final disposal</t>
  </si>
  <si>
    <t>inert waste, for final disposal</t>
  </si>
  <si>
    <t>quicklime production, PFRK with carbon capture and storage, milled, loose</t>
  </si>
  <si>
    <t>market for quicklime, milled, packed (prospective)</t>
  </si>
  <si>
    <t>quicklime, milled, packed</t>
  </si>
  <si>
    <t>2035_BAT_Fuel mix_15CCS</t>
  </si>
  <si>
    <t>2035_BAT_Biomass_15CCS</t>
  </si>
  <si>
    <t>2035_BAT_NG_15CCS</t>
  </si>
  <si>
    <t>2035_BAT_Fuel mix_0CCS</t>
  </si>
  <si>
    <t>2035_BAT_Biomass_0CCS</t>
  </si>
  <si>
    <t>2035_BAT_NG_0CCS</t>
  </si>
  <si>
    <t>2035_BAT_Fuel mix_100CCS</t>
  </si>
  <si>
    <t>2035_BAT_Biomass_100CCS</t>
  </si>
  <si>
    <t>2035_BAT_NG_100CCS</t>
  </si>
  <si>
    <t>2035_BAT Worst_Fuel mix_15CCS</t>
  </si>
  <si>
    <t>2035_BAT Worst_Biomass_15CCS</t>
  </si>
  <si>
    <t>2035_BAT Worst_NG_15CCS</t>
  </si>
  <si>
    <t>2035_BAT Worst_Fuel mix_0CCS</t>
  </si>
  <si>
    <t>2035_BAT Worst_Biomass_0CCS</t>
  </si>
  <si>
    <t>2035_BAT Worst_NG_0CCS</t>
  </si>
  <si>
    <t>2035_BAT Worst_Fuel mix_100CCS</t>
  </si>
  <si>
    <t>2035_BAT Worst_Biomass_100CCS</t>
  </si>
  <si>
    <t>2035_BAT Worst_NG_100CCS</t>
  </si>
  <si>
    <t>heat, from municipal waste incineration to generic market for heat district or industrial, other than natural gas</t>
  </si>
  <si>
    <t>heat production, heavy fuel oil, at industrial furnace 1MW</t>
  </si>
  <si>
    <t>soda ash production, Solvay process</t>
  </si>
  <si>
    <t>soda ash, light</t>
  </si>
  <si>
    <t>market for sodium chloride, brine solution</t>
  </si>
  <si>
    <t>sodium chloride, brine solution</t>
  </si>
  <si>
    <t>market for ammonia, anhydrous, liquid</t>
  </si>
  <si>
    <t>ammonia, anhydrous, liquid</t>
  </si>
  <si>
    <t>market for coke</t>
  </si>
  <si>
    <t>coke</t>
  </si>
  <si>
    <t>treatment of inert waste, inert material landfill</t>
  </si>
  <si>
    <t>Water, unspecified natural origin</t>
  </si>
  <si>
    <t>Water, cooling, unspecified natural origin</t>
  </si>
  <si>
    <t>Water</t>
  </si>
  <si>
    <t>biosphere</t>
  </si>
  <si>
    <t>natural resource::in water</t>
  </si>
  <si>
    <t>water</t>
  </si>
  <si>
    <t>air</t>
  </si>
  <si>
    <t>soda ash production, Solvay process with carbon capture and storage</t>
  </si>
  <si>
    <t>soda ash production, trona process</t>
  </si>
  <si>
    <t>market for soda ash, light (prospective)</t>
  </si>
  <si>
    <t>ei_cutoff_3.10_remind_SSP2-NDC_2035_NationalPlans 2026-05-29</t>
  </si>
  <si>
    <t>ecoinvent-3.10.1-biosphere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</si>
</sst>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1" applyFont="1"/>
    <xf numFmtId="0" fontId="1" fillId="0" borderId="0" xfId="0" applyFont="1" applyAlignment="1">
      <alignment horizontal="right" vertical="center" wrapText="1"/>
    </xf>
    <xf numFmtId="0" fontId="4" fillId="0" borderId="0" xfId="1" applyFont="1" applyAlignment="1">
      <alignment vertical="top"/>
    </xf>
    <xf numFmtId="0" fontId="2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4" fillId="0" borderId="0" xfId="0" applyFont="1"/>
    <xf numFmtId="165" fontId="2" fillId="4" borderId="0" xfId="0" applyNumberFormat="1" applyFont="1" applyFill="1" applyAlignment="1">
      <alignment horizontal="right" vertical="center"/>
    </xf>
    <xf numFmtId="165" fontId="0" fillId="4" borderId="0" xfId="0" applyNumberFormat="1" applyFill="1"/>
    <xf numFmtId="0" fontId="0" fillId="0" borderId="0" xfId="0" applyAlignment="1">
      <alignment horizontal="left"/>
    </xf>
    <xf numFmtId="166" fontId="0" fillId="0" borderId="0" xfId="0" applyNumberFormat="1"/>
    <xf numFmtId="165" fontId="0" fillId="0" borderId="0" xfId="0" applyNumberFormat="1"/>
  </cellXfs>
  <cellStyles count="2">
    <cellStyle name="Normal" xfId="0" builtinId="0"/>
    <cellStyle name="Normal 11" xfId="1" xr:uid="{C954DEB6-57AF-46DA-98A9-BEEC10FF64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2521-48B2-4A33-87F0-1F00F93B2567}">
  <dimension ref="A1:AJ60"/>
  <sheetViews>
    <sheetView tabSelected="1" zoomScale="70" zoomScaleNormal="70" workbookViewId="0">
      <pane ySplit="1" topLeftCell="A22" activePane="bottomLeft" state="frozen"/>
      <selection pane="bottomLeft" activeCell="J58" sqref="J58:J60"/>
    </sheetView>
  </sheetViews>
  <sheetFormatPr defaultRowHeight="15" x14ac:dyDescent="0.25"/>
  <cols>
    <col min="1" max="1" width="70.5703125" customWidth="1"/>
    <col min="2" max="2" width="23" bestFit="1" customWidth="1"/>
    <col min="3" max="3" width="6.28515625" customWidth="1"/>
    <col min="4" max="4" width="23.85546875" bestFit="1" customWidth="1"/>
    <col min="5" max="5" width="61.42578125" customWidth="1"/>
    <col min="6" max="6" width="44.7109375" bestFit="1" customWidth="1"/>
    <col min="8" max="8" width="14.140625" customWidth="1"/>
    <col min="9" max="9" width="13.42578125" bestFit="1" customWidth="1"/>
    <col min="10" max="10" width="18.42578125" bestFit="1" customWidth="1"/>
    <col min="11" max="11" width="11.140625" bestFit="1" customWidth="1"/>
    <col min="12" max="12" width="14.42578125" customWidth="1"/>
    <col min="13" max="13" width="14.85546875" customWidth="1"/>
    <col min="14" max="19" width="11.140625" customWidth="1"/>
    <col min="20" max="20" width="14.42578125" bestFit="1" customWidth="1"/>
    <col min="21" max="21" width="15.85546875" bestFit="1" customWidth="1"/>
    <col min="22" max="22" width="15.7109375" bestFit="1" customWidth="1"/>
    <col min="23" max="23" width="14.42578125" bestFit="1" customWidth="1"/>
    <col min="24" max="24" width="15.85546875" bestFit="1" customWidth="1"/>
    <col min="25" max="25" width="15.7109375" bestFit="1" customWidth="1"/>
    <col min="26" max="26" width="14.42578125" bestFit="1" customWidth="1"/>
    <col min="27" max="27" width="15.85546875" bestFit="1" customWidth="1"/>
    <col min="28" max="28" width="15.7109375" bestFit="1" customWidth="1"/>
    <col min="29" max="36" width="9.5703125" bestFit="1" customWidth="1"/>
  </cols>
  <sheetData>
    <row r="1" spans="1:36" ht="60" x14ac:dyDescent="0.25">
      <c r="A1" s="1" t="s">
        <v>1</v>
      </c>
      <c r="B1" s="1" t="s">
        <v>0</v>
      </c>
      <c r="C1" s="1" t="s">
        <v>2</v>
      </c>
      <c r="D1" s="1" t="s">
        <v>3</v>
      </c>
      <c r="E1" s="2" t="s">
        <v>6</v>
      </c>
      <c r="F1" s="2" t="s">
        <v>5</v>
      </c>
      <c r="G1" s="2" t="s">
        <v>7</v>
      </c>
      <c r="H1" s="2" t="s">
        <v>12</v>
      </c>
      <c r="I1" s="2" t="s">
        <v>8</v>
      </c>
      <c r="J1" s="2" t="s">
        <v>9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  <c r="U1" s="5" t="s">
        <v>39</v>
      </c>
      <c r="V1" s="5" t="s">
        <v>40</v>
      </c>
      <c r="W1" s="5" t="s">
        <v>41</v>
      </c>
      <c r="X1" s="5" t="s">
        <v>42</v>
      </c>
      <c r="Y1" s="5" t="s">
        <v>43</v>
      </c>
      <c r="Z1" s="5" t="s">
        <v>44</v>
      </c>
      <c r="AA1" s="5" t="s">
        <v>45</v>
      </c>
      <c r="AB1" s="5" t="s">
        <v>46</v>
      </c>
      <c r="AC1" s="5"/>
      <c r="AD1" s="5"/>
      <c r="AE1" s="5"/>
      <c r="AF1" s="5"/>
      <c r="AG1" s="5"/>
      <c r="AH1" s="5"/>
      <c r="AI1" s="5"/>
      <c r="AJ1" s="5"/>
    </row>
    <row r="2" spans="1:36" ht="15.75" customHeight="1" x14ac:dyDescent="0.25">
      <c r="A2" s="6" t="s">
        <v>14</v>
      </c>
      <c r="B2" s="7" t="s">
        <v>13</v>
      </c>
      <c r="C2" s="7" t="s">
        <v>15</v>
      </c>
      <c r="D2" s="7" t="s">
        <v>68</v>
      </c>
      <c r="E2" s="6" t="s">
        <v>16</v>
      </c>
      <c r="F2" s="6" t="s">
        <v>17</v>
      </c>
      <c r="G2" s="7" t="s">
        <v>18</v>
      </c>
      <c r="H2" s="4"/>
      <c r="I2" s="7" t="s">
        <v>4</v>
      </c>
      <c r="J2" s="7" t="s">
        <v>68</v>
      </c>
      <c r="K2" s="9">
        <v>1.8180000000000001</v>
      </c>
      <c r="L2" s="9">
        <v>1.8180000000000001</v>
      </c>
      <c r="M2" s="9">
        <v>1.8180000000000001</v>
      </c>
      <c r="N2" s="9">
        <v>1.8180000000000001</v>
      </c>
      <c r="O2" s="9">
        <v>1.8180000000000001</v>
      </c>
      <c r="P2" s="9">
        <v>1.8180000000000001</v>
      </c>
      <c r="Q2" s="9">
        <v>1.8180000000000001</v>
      </c>
      <c r="R2" s="9">
        <v>1.8180000000000001</v>
      </c>
      <c r="S2" s="9">
        <v>1.8180000000000001</v>
      </c>
      <c r="T2" s="8">
        <v>1.8900000000000001</v>
      </c>
      <c r="U2" s="8">
        <v>1.8900000000000001</v>
      </c>
      <c r="V2" s="8">
        <v>1.8900000000000001</v>
      </c>
      <c r="W2" s="8">
        <v>1.8900000000000001</v>
      </c>
      <c r="X2" s="8">
        <v>1.8900000000000001</v>
      </c>
      <c r="Y2" s="8">
        <v>1.8900000000000001</v>
      </c>
      <c r="Z2" s="8">
        <v>1.8900000000000001</v>
      </c>
      <c r="AA2" s="8">
        <v>1.8900000000000001</v>
      </c>
      <c r="AB2" s="8">
        <v>1.8900000000000001</v>
      </c>
    </row>
    <row r="3" spans="1:36" ht="15.75" customHeight="1" x14ac:dyDescent="0.25">
      <c r="A3" s="6" t="s">
        <v>14</v>
      </c>
      <c r="B3" s="7" t="s">
        <v>13</v>
      </c>
      <c r="C3" s="7" t="s">
        <v>15</v>
      </c>
      <c r="D3" s="7" t="s">
        <v>68</v>
      </c>
      <c r="E3" s="6" t="s">
        <v>10</v>
      </c>
      <c r="F3" s="6" t="s">
        <v>11</v>
      </c>
      <c r="G3" s="7" t="s">
        <v>15</v>
      </c>
      <c r="H3" s="4"/>
      <c r="I3" s="7" t="s">
        <v>4</v>
      </c>
      <c r="J3" s="7" t="s">
        <v>68</v>
      </c>
      <c r="K3" s="9">
        <v>0.03</v>
      </c>
      <c r="L3" s="9">
        <v>0.03</v>
      </c>
      <c r="M3" s="9">
        <v>0.03</v>
      </c>
      <c r="N3" s="9">
        <v>0.03</v>
      </c>
      <c r="O3" s="9">
        <v>0.03</v>
      </c>
      <c r="P3" s="9">
        <v>0.03</v>
      </c>
      <c r="Q3" s="9">
        <v>0.03</v>
      </c>
      <c r="R3" s="9">
        <v>0.03</v>
      </c>
      <c r="S3" s="9">
        <v>0.03</v>
      </c>
      <c r="T3" s="8">
        <v>0.08</v>
      </c>
      <c r="U3" s="8">
        <v>0.08</v>
      </c>
      <c r="V3" s="8">
        <v>0.08</v>
      </c>
      <c r="W3" s="8">
        <v>0.08</v>
      </c>
      <c r="X3" s="8">
        <v>0.08</v>
      </c>
      <c r="Y3" s="8">
        <v>0.08</v>
      </c>
      <c r="Z3" s="8">
        <v>0.08</v>
      </c>
      <c r="AA3" s="8">
        <v>0.08</v>
      </c>
      <c r="AB3" s="8">
        <v>0.08</v>
      </c>
    </row>
    <row r="4" spans="1:36" ht="15.75" customHeight="1" x14ac:dyDescent="0.25">
      <c r="A4" s="6" t="s">
        <v>14</v>
      </c>
      <c r="B4" s="7" t="s">
        <v>13</v>
      </c>
      <c r="C4" s="7" t="s">
        <v>15</v>
      </c>
      <c r="D4" s="7" t="s">
        <v>68</v>
      </c>
      <c r="E4" s="16" t="s">
        <v>19</v>
      </c>
      <c r="F4" s="16" t="s">
        <v>20</v>
      </c>
      <c r="G4" s="13" t="s">
        <v>18</v>
      </c>
      <c r="I4" s="7" t="s">
        <v>4</v>
      </c>
      <c r="J4" s="7" t="s">
        <v>68</v>
      </c>
      <c r="K4" s="9">
        <v>1.0263028649966146</v>
      </c>
      <c r="L4" s="9">
        <v>0</v>
      </c>
      <c r="M4" s="9">
        <v>0</v>
      </c>
      <c r="N4" s="9">
        <v>1.0263028649966146</v>
      </c>
      <c r="O4" s="9">
        <v>0</v>
      </c>
      <c r="P4" s="9">
        <v>0</v>
      </c>
      <c r="Q4" s="9">
        <v>1.0263028649966146</v>
      </c>
      <c r="R4" s="9">
        <v>0</v>
      </c>
      <c r="S4" s="9">
        <v>0</v>
      </c>
      <c r="T4" s="9">
        <v>1.3470225103080566</v>
      </c>
      <c r="U4" s="9">
        <v>0</v>
      </c>
      <c r="V4" s="9">
        <v>0</v>
      </c>
      <c r="W4" s="9">
        <v>1.3470225103080566</v>
      </c>
      <c r="X4" s="9">
        <v>0</v>
      </c>
      <c r="Y4" s="9">
        <v>0</v>
      </c>
      <c r="Z4" s="9">
        <v>1.3470225103080566</v>
      </c>
      <c r="AA4" s="9">
        <v>0</v>
      </c>
      <c r="AB4" s="9">
        <v>0</v>
      </c>
    </row>
    <row r="5" spans="1:36" x14ac:dyDescent="0.25">
      <c r="A5" s="6" t="s">
        <v>14</v>
      </c>
      <c r="B5" s="7" t="s">
        <v>13</v>
      </c>
      <c r="C5" s="7" t="s">
        <v>15</v>
      </c>
      <c r="D5" s="7" t="s">
        <v>68</v>
      </c>
      <c r="E5" s="16" t="s">
        <v>21</v>
      </c>
      <c r="F5" s="16" t="s">
        <v>22</v>
      </c>
      <c r="G5" s="3" t="s">
        <v>18</v>
      </c>
      <c r="I5" s="7" t="s">
        <v>4</v>
      </c>
      <c r="J5" s="7" t="s">
        <v>68</v>
      </c>
      <c r="K5" s="9">
        <v>1.4209375547956826</v>
      </c>
      <c r="L5" s="9">
        <v>0</v>
      </c>
      <c r="M5" s="9">
        <v>3.2</v>
      </c>
      <c r="N5" s="9">
        <v>1.4209375547956826</v>
      </c>
      <c r="O5" s="9">
        <v>0</v>
      </c>
      <c r="P5" s="9">
        <v>3.2</v>
      </c>
      <c r="Q5" s="9">
        <v>1.4209375547956826</v>
      </c>
      <c r="R5" s="9">
        <v>0</v>
      </c>
      <c r="S5" s="9">
        <v>3.2</v>
      </c>
      <c r="T5" s="9">
        <v>1.8649805406693334</v>
      </c>
      <c r="U5" s="9">
        <v>0</v>
      </c>
      <c r="V5" s="9">
        <v>4.2</v>
      </c>
      <c r="W5" s="9">
        <v>1.8649805406693334</v>
      </c>
      <c r="X5" s="9">
        <v>0</v>
      </c>
      <c r="Y5" s="9">
        <v>4.2</v>
      </c>
      <c r="Z5" s="9">
        <v>1.8649805406693334</v>
      </c>
      <c r="AA5" s="9">
        <v>0</v>
      </c>
      <c r="AB5" s="9">
        <v>4.2</v>
      </c>
    </row>
    <row r="6" spans="1:36" x14ac:dyDescent="0.25">
      <c r="A6" s="6" t="s">
        <v>14</v>
      </c>
      <c r="B6" s="7" t="s">
        <v>13</v>
      </c>
      <c r="C6" s="7" t="s">
        <v>15</v>
      </c>
      <c r="D6" s="7" t="s">
        <v>68</v>
      </c>
      <c r="E6" s="16" t="s">
        <v>47</v>
      </c>
      <c r="F6" s="16" t="s">
        <v>20</v>
      </c>
      <c r="G6" s="3" t="s">
        <v>18</v>
      </c>
      <c r="I6" s="7" t="s">
        <v>4</v>
      </c>
      <c r="J6" s="7" t="s">
        <v>68</v>
      </c>
      <c r="K6" s="9">
        <v>0.24754889176260042</v>
      </c>
      <c r="L6" s="9">
        <v>0</v>
      </c>
      <c r="M6" s="9">
        <v>0</v>
      </c>
      <c r="N6" s="9">
        <v>0.24754889176260042</v>
      </c>
      <c r="O6" s="9">
        <v>0</v>
      </c>
      <c r="P6" s="9">
        <v>0</v>
      </c>
      <c r="Q6" s="9">
        <v>0.24754889176260042</v>
      </c>
      <c r="R6" s="9">
        <v>0</v>
      </c>
      <c r="S6" s="9">
        <v>0</v>
      </c>
      <c r="T6" s="9">
        <v>0.32490792043841304</v>
      </c>
      <c r="U6" s="9">
        <v>0</v>
      </c>
      <c r="V6" s="9">
        <v>0</v>
      </c>
      <c r="W6" s="9">
        <v>0.32490792043841304</v>
      </c>
      <c r="X6" s="9">
        <v>0</v>
      </c>
      <c r="Y6" s="9">
        <v>0</v>
      </c>
      <c r="Z6" s="9">
        <v>0.32490792043841304</v>
      </c>
      <c r="AA6" s="9">
        <v>0</v>
      </c>
      <c r="AB6" s="9">
        <v>0</v>
      </c>
    </row>
    <row r="7" spans="1:36" x14ac:dyDescent="0.25">
      <c r="A7" s="6" t="s">
        <v>14</v>
      </c>
      <c r="B7" s="7" t="s">
        <v>13</v>
      </c>
      <c r="C7" s="7" t="s">
        <v>15</v>
      </c>
      <c r="D7" s="7" t="s">
        <v>68</v>
      </c>
      <c r="E7" s="16" t="s">
        <v>48</v>
      </c>
      <c r="F7" s="16" t="s">
        <v>20</v>
      </c>
      <c r="G7" s="3" t="s">
        <v>18</v>
      </c>
      <c r="I7" s="7" t="s">
        <v>4</v>
      </c>
      <c r="J7" s="7" t="s">
        <v>68</v>
      </c>
      <c r="K7" s="9">
        <v>5.3961626495443227E-2</v>
      </c>
      <c r="L7" s="9">
        <v>0</v>
      </c>
      <c r="M7" s="9">
        <v>0</v>
      </c>
      <c r="N7" s="9">
        <v>5.3961626495443227E-2</v>
      </c>
      <c r="O7" s="9">
        <v>0</v>
      </c>
      <c r="P7" s="9">
        <v>0</v>
      </c>
      <c r="Q7" s="9">
        <v>5.3961626495443227E-2</v>
      </c>
      <c r="R7" s="9">
        <v>0</v>
      </c>
      <c r="S7" s="9">
        <v>0</v>
      </c>
      <c r="T7" s="9">
        <v>7.0824634775269235E-2</v>
      </c>
      <c r="U7" s="9">
        <v>0</v>
      </c>
      <c r="V7" s="9">
        <v>0</v>
      </c>
      <c r="W7" s="9">
        <v>7.0824634775269235E-2</v>
      </c>
      <c r="X7" s="9">
        <v>0</v>
      </c>
      <c r="Y7" s="9">
        <v>0</v>
      </c>
      <c r="Z7" s="9">
        <v>7.0824634775269235E-2</v>
      </c>
      <c r="AA7" s="9">
        <v>0</v>
      </c>
      <c r="AB7" s="9">
        <v>0</v>
      </c>
    </row>
    <row r="8" spans="1:36" x14ac:dyDescent="0.25">
      <c r="A8" s="6" t="s">
        <v>14</v>
      </c>
      <c r="B8" s="7" t="s">
        <v>13</v>
      </c>
      <c r="C8" s="7" t="s">
        <v>15</v>
      </c>
      <c r="D8" s="7" t="s">
        <v>68</v>
      </c>
      <c r="E8" s="16" t="s">
        <v>23</v>
      </c>
      <c r="F8" s="16" t="s">
        <v>20</v>
      </c>
      <c r="G8" s="3" t="s">
        <v>18</v>
      </c>
      <c r="I8" s="7" t="s">
        <v>4</v>
      </c>
      <c r="J8" s="7" t="s">
        <v>68</v>
      </c>
      <c r="K8" s="9">
        <v>0.45124906194963615</v>
      </c>
      <c r="L8" s="9">
        <v>3.2</v>
      </c>
      <c r="M8" s="9">
        <v>0</v>
      </c>
      <c r="N8" s="9">
        <v>0.45124906194963615</v>
      </c>
      <c r="O8" s="9">
        <v>3.2</v>
      </c>
      <c r="P8" s="9">
        <v>0</v>
      </c>
      <c r="Q8" s="9">
        <v>0.45124906194963615</v>
      </c>
      <c r="R8" s="9">
        <v>3.2</v>
      </c>
      <c r="S8" s="9">
        <v>0</v>
      </c>
      <c r="T8" s="9">
        <v>0.5922643938088975</v>
      </c>
      <c r="U8" s="9">
        <v>4.2</v>
      </c>
      <c r="V8" s="9">
        <v>0</v>
      </c>
      <c r="W8" s="9">
        <v>0.5922643938088975</v>
      </c>
      <c r="X8" s="9">
        <v>4.2</v>
      </c>
      <c r="Y8" s="9">
        <v>0</v>
      </c>
      <c r="Z8" s="9">
        <v>0.5922643938088975</v>
      </c>
      <c r="AA8" s="9">
        <v>4.2</v>
      </c>
      <c r="AB8" s="9">
        <v>0</v>
      </c>
    </row>
    <row r="9" spans="1:36" x14ac:dyDescent="0.25">
      <c r="A9" s="6" t="s">
        <v>14</v>
      </c>
      <c r="B9" s="7" t="s">
        <v>13</v>
      </c>
      <c r="C9" s="7" t="s">
        <v>15</v>
      </c>
      <c r="D9" s="7" t="s">
        <v>68</v>
      </c>
      <c r="E9" t="s">
        <v>24</v>
      </c>
      <c r="F9" t="s">
        <v>25</v>
      </c>
      <c r="G9" s="3" t="s">
        <v>18</v>
      </c>
      <c r="I9" s="7" t="s">
        <v>4</v>
      </c>
      <c r="J9" s="7" t="s">
        <v>68</v>
      </c>
      <c r="K9" s="9">
        <v>-1.8180000000000002E-2</v>
      </c>
      <c r="L9" s="9">
        <v>-1.8180000000000002E-2</v>
      </c>
      <c r="M9" s="9">
        <v>-1.8180000000000002E-2</v>
      </c>
      <c r="N9" s="9">
        <v>-1.8180000000000002E-2</v>
      </c>
      <c r="O9" s="9">
        <v>-1.8180000000000002E-2</v>
      </c>
      <c r="P9" s="9">
        <v>-1.8180000000000002E-2</v>
      </c>
      <c r="Q9" s="9">
        <v>-1.8180000000000002E-2</v>
      </c>
      <c r="R9" s="9">
        <v>-1.8180000000000002E-2</v>
      </c>
      <c r="S9" s="9">
        <v>-1.8180000000000002E-2</v>
      </c>
      <c r="T9" s="8">
        <v>-9.4500000000000001E-2</v>
      </c>
      <c r="U9" s="8">
        <v>-9.4500000000000001E-2</v>
      </c>
      <c r="V9" s="8">
        <v>-9.4500000000000001E-2</v>
      </c>
      <c r="W9" s="8">
        <v>-9.4500000000000001E-2</v>
      </c>
      <c r="X9" s="8">
        <v>-9.4500000000000001E-2</v>
      </c>
      <c r="Y9" s="8">
        <v>-9.4500000000000001E-2</v>
      </c>
      <c r="Z9" s="8">
        <v>-9.4500000000000001E-2</v>
      </c>
      <c r="AA9" s="8">
        <v>-9.4500000000000001E-2</v>
      </c>
      <c r="AB9" s="8">
        <v>-9.4500000000000001E-2</v>
      </c>
    </row>
    <row r="10" spans="1:36" s="12" customFormat="1" x14ac:dyDescent="0.25">
      <c r="A10" s="10"/>
      <c r="B10" s="10"/>
      <c r="C10" s="11"/>
      <c r="D10" s="10"/>
      <c r="E10" s="11"/>
      <c r="F10" s="11"/>
      <c r="G10" s="11"/>
      <c r="H10" s="11"/>
      <c r="I10" s="11"/>
      <c r="J10" s="11"/>
      <c r="K10" s="14"/>
      <c r="L10" s="14"/>
      <c r="M10" s="15"/>
      <c r="N10" s="14"/>
      <c r="O10" s="14"/>
      <c r="P10" s="15"/>
      <c r="Q10" s="14"/>
      <c r="R10" s="14"/>
      <c r="S10" s="15"/>
      <c r="T10" s="14"/>
      <c r="U10" s="15"/>
      <c r="V10" s="15"/>
      <c r="W10" s="14"/>
      <c r="X10" s="15"/>
      <c r="Y10" s="15"/>
      <c r="Z10" s="14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 spans="1:36" ht="15.75" customHeight="1" x14ac:dyDescent="0.25">
      <c r="A11" s="6" t="s">
        <v>26</v>
      </c>
      <c r="B11" s="7" t="s">
        <v>13</v>
      </c>
      <c r="C11" s="7" t="s">
        <v>15</v>
      </c>
      <c r="D11" s="7" t="s">
        <v>68</v>
      </c>
      <c r="E11" s="6" t="s">
        <v>16</v>
      </c>
      <c r="F11" s="6" t="s">
        <v>17</v>
      </c>
      <c r="G11" s="7" t="s">
        <v>18</v>
      </c>
      <c r="H11" s="4"/>
      <c r="I11" s="7" t="s">
        <v>4</v>
      </c>
      <c r="J11" s="7" t="s">
        <v>68</v>
      </c>
      <c r="K11" s="9">
        <v>1.8180000000000001</v>
      </c>
      <c r="L11" s="9">
        <v>1.8180000000000001</v>
      </c>
      <c r="M11" s="9">
        <v>1.8180000000000001</v>
      </c>
      <c r="N11" s="9">
        <v>1.8180000000000001</v>
      </c>
      <c r="O11" s="9">
        <v>1.8180000000000001</v>
      </c>
      <c r="P11" s="9">
        <v>1.8180000000000001</v>
      </c>
      <c r="Q11" s="9">
        <v>1.8180000000000001</v>
      </c>
      <c r="R11" s="9">
        <v>1.8180000000000001</v>
      </c>
      <c r="S11" s="9">
        <v>1.8180000000000001</v>
      </c>
      <c r="T11" s="8">
        <v>1.8900000000000001</v>
      </c>
      <c r="U11" s="8">
        <v>1.8900000000000001</v>
      </c>
      <c r="V11" s="8">
        <v>1.8900000000000001</v>
      </c>
      <c r="W11" s="8">
        <v>1.8900000000000001</v>
      </c>
      <c r="X11" s="8">
        <v>1.8900000000000001</v>
      </c>
      <c r="Y11" s="8">
        <v>1.8900000000000001</v>
      </c>
      <c r="Z11" s="8">
        <v>1.8900000000000001</v>
      </c>
      <c r="AA11" s="8">
        <v>1.8900000000000001</v>
      </c>
      <c r="AB11" s="8">
        <v>1.8900000000000001</v>
      </c>
    </row>
    <row r="12" spans="1:36" ht="15.75" customHeight="1" x14ac:dyDescent="0.25">
      <c r="A12" s="6" t="s">
        <v>26</v>
      </c>
      <c r="B12" s="7" t="s">
        <v>13</v>
      </c>
      <c r="C12" s="7" t="s">
        <v>15</v>
      </c>
      <c r="D12" s="7" t="s">
        <v>68</v>
      </c>
      <c r="E12" s="6" t="s">
        <v>10</v>
      </c>
      <c r="F12" s="6" t="s">
        <v>11</v>
      </c>
      <c r="G12" s="7" t="s">
        <v>15</v>
      </c>
      <c r="H12" s="4"/>
      <c r="I12" s="7" t="s">
        <v>4</v>
      </c>
      <c r="J12" s="7" t="s">
        <v>68</v>
      </c>
      <c r="K12" s="9">
        <v>0.19093333333333334</v>
      </c>
      <c r="L12" s="9">
        <v>0.19093333333333334</v>
      </c>
      <c r="M12" s="9">
        <v>0.19093333333333334</v>
      </c>
      <c r="N12" s="9">
        <v>0.19093333333333334</v>
      </c>
      <c r="O12" s="9">
        <v>0.19093333333333334</v>
      </c>
      <c r="P12" s="9">
        <v>0.19093333333333334</v>
      </c>
      <c r="Q12" s="9">
        <v>0.19093333333333334</v>
      </c>
      <c r="R12" s="9">
        <v>0.19093333333333334</v>
      </c>
      <c r="S12" s="9">
        <v>0.19093333333333334</v>
      </c>
      <c r="T12" s="8">
        <v>0.26232222222222223</v>
      </c>
      <c r="U12" s="8">
        <v>0.26232222222222223</v>
      </c>
      <c r="V12" s="8">
        <v>0.26232222222222223</v>
      </c>
      <c r="W12" s="8">
        <v>0.26232222222222223</v>
      </c>
      <c r="X12" s="8">
        <v>0.26232222222222223</v>
      </c>
      <c r="Y12" s="8">
        <v>0.26232222222222223</v>
      </c>
      <c r="Z12" s="8">
        <v>0.26232222222222223</v>
      </c>
      <c r="AA12" s="8">
        <v>0.26232222222222223</v>
      </c>
      <c r="AB12" s="8">
        <v>0.26232222222222223</v>
      </c>
    </row>
    <row r="13" spans="1:36" ht="15.75" customHeight="1" x14ac:dyDescent="0.25">
      <c r="A13" s="6" t="s">
        <v>26</v>
      </c>
      <c r="B13" s="7" t="s">
        <v>13</v>
      </c>
      <c r="C13" s="7" t="s">
        <v>15</v>
      </c>
      <c r="D13" s="7" t="s">
        <v>68</v>
      </c>
      <c r="E13" s="16" t="s">
        <v>19</v>
      </c>
      <c r="F13" s="16" t="s">
        <v>20</v>
      </c>
      <c r="G13" s="13" t="s">
        <v>18</v>
      </c>
      <c r="H13" s="13"/>
      <c r="I13" s="7" t="s">
        <v>4</v>
      </c>
      <c r="J13" s="7" t="s">
        <v>68</v>
      </c>
      <c r="K13" s="9">
        <v>1.0263028649966146</v>
      </c>
      <c r="L13" s="9">
        <v>0</v>
      </c>
      <c r="M13" s="9">
        <v>0</v>
      </c>
      <c r="N13" s="9">
        <v>1.0263028649966146</v>
      </c>
      <c r="O13" s="9">
        <v>0</v>
      </c>
      <c r="P13" s="9">
        <v>0</v>
      </c>
      <c r="Q13" s="9">
        <v>1.0263028649966146</v>
      </c>
      <c r="R13" s="9">
        <v>0</v>
      </c>
      <c r="S13" s="9">
        <v>0</v>
      </c>
      <c r="T13" s="9">
        <v>1.3470225103080566</v>
      </c>
      <c r="U13" s="9">
        <v>0</v>
      </c>
      <c r="V13" s="9">
        <v>0</v>
      </c>
      <c r="W13" s="9">
        <v>1.3470225103080566</v>
      </c>
      <c r="X13" s="9">
        <v>0</v>
      </c>
      <c r="Y13" s="9">
        <v>0</v>
      </c>
      <c r="Z13" s="9">
        <v>1.3470225103080566</v>
      </c>
      <c r="AA13" s="9">
        <v>0</v>
      </c>
      <c r="AB13" s="9">
        <v>0</v>
      </c>
    </row>
    <row r="14" spans="1:36" x14ac:dyDescent="0.25">
      <c r="A14" s="6" t="s">
        <v>26</v>
      </c>
      <c r="B14" s="7" t="s">
        <v>13</v>
      </c>
      <c r="C14" s="7" t="s">
        <v>15</v>
      </c>
      <c r="D14" s="7" t="s">
        <v>68</v>
      </c>
      <c r="E14" s="16" t="s">
        <v>21</v>
      </c>
      <c r="F14" s="16" t="s">
        <v>22</v>
      </c>
      <c r="G14" s="3" t="s">
        <v>18</v>
      </c>
      <c r="H14" s="3"/>
      <c r="I14" s="7" t="s">
        <v>4</v>
      </c>
      <c r="J14" s="7" t="s">
        <v>68</v>
      </c>
      <c r="K14" s="9">
        <v>1.4209375547956826</v>
      </c>
      <c r="L14" s="9">
        <v>0</v>
      </c>
      <c r="M14" s="9">
        <v>3.2</v>
      </c>
      <c r="N14" s="9">
        <v>1.4209375547956826</v>
      </c>
      <c r="O14" s="9">
        <v>0</v>
      </c>
      <c r="P14" s="9">
        <v>3.2</v>
      </c>
      <c r="Q14" s="9">
        <v>1.4209375547956826</v>
      </c>
      <c r="R14" s="9">
        <v>0</v>
      </c>
      <c r="S14" s="9">
        <v>3.2</v>
      </c>
      <c r="T14" s="9">
        <v>1.8649805406693334</v>
      </c>
      <c r="U14" s="9">
        <v>0</v>
      </c>
      <c r="V14" s="9">
        <v>4.2</v>
      </c>
      <c r="W14" s="9">
        <v>1.8649805406693334</v>
      </c>
      <c r="X14" s="9">
        <v>0</v>
      </c>
      <c r="Y14" s="9">
        <v>4.2</v>
      </c>
      <c r="Z14" s="9">
        <v>1.8649805406693334</v>
      </c>
      <c r="AA14" s="9">
        <v>0</v>
      </c>
      <c r="AB14" s="9">
        <v>4.2</v>
      </c>
    </row>
    <row r="15" spans="1:36" x14ac:dyDescent="0.25">
      <c r="A15" s="6" t="s">
        <v>26</v>
      </c>
      <c r="B15" s="7" t="s">
        <v>13</v>
      </c>
      <c r="C15" s="7" t="s">
        <v>15</v>
      </c>
      <c r="D15" s="7" t="s">
        <v>68</v>
      </c>
      <c r="E15" s="16" t="s">
        <v>47</v>
      </c>
      <c r="F15" s="16" t="s">
        <v>20</v>
      </c>
      <c r="G15" s="3" t="s">
        <v>18</v>
      </c>
      <c r="H15" s="3"/>
      <c r="I15" s="7" t="s">
        <v>4</v>
      </c>
      <c r="J15" s="7" t="s">
        <v>68</v>
      </c>
      <c r="K15" s="9">
        <v>0.24754889176260042</v>
      </c>
      <c r="L15" s="9">
        <v>0</v>
      </c>
      <c r="M15" s="9">
        <v>0</v>
      </c>
      <c r="N15" s="9">
        <v>0.24754889176260042</v>
      </c>
      <c r="O15" s="9">
        <v>0</v>
      </c>
      <c r="P15" s="9">
        <v>0</v>
      </c>
      <c r="Q15" s="9">
        <v>0.24754889176260042</v>
      </c>
      <c r="R15" s="9">
        <v>0</v>
      </c>
      <c r="S15" s="9">
        <v>0</v>
      </c>
      <c r="T15" s="9">
        <v>0.32490792043841304</v>
      </c>
      <c r="U15" s="9">
        <v>0</v>
      </c>
      <c r="V15" s="9">
        <v>0</v>
      </c>
      <c r="W15" s="9">
        <v>0.32490792043841304</v>
      </c>
      <c r="X15" s="9">
        <v>0</v>
      </c>
      <c r="Y15" s="9">
        <v>0</v>
      </c>
      <c r="Z15" s="9">
        <v>0.32490792043841304</v>
      </c>
      <c r="AA15" s="9">
        <v>0</v>
      </c>
      <c r="AB15" s="9">
        <v>0</v>
      </c>
    </row>
    <row r="16" spans="1:36" x14ac:dyDescent="0.25">
      <c r="A16" s="6" t="s">
        <v>26</v>
      </c>
      <c r="B16" s="7" t="s">
        <v>13</v>
      </c>
      <c r="C16" s="7" t="s">
        <v>15</v>
      </c>
      <c r="D16" s="7" t="s">
        <v>68</v>
      </c>
      <c r="E16" s="16" t="s">
        <v>48</v>
      </c>
      <c r="F16" s="16" t="s">
        <v>20</v>
      </c>
      <c r="G16" s="3" t="s">
        <v>18</v>
      </c>
      <c r="H16" s="3"/>
      <c r="I16" s="7" t="s">
        <v>4</v>
      </c>
      <c r="J16" s="7" t="s">
        <v>68</v>
      </c>
      <c r="K16" s="9">
        <v>5.3961626495443227E-2</v>
      </c>
      <c r="L16" s="9">
        <v>0</v>
      </c>
      <c r="M16" s="9">
        <v>0</v>
      </c>
      <c r="N16" s="9">
        <v>5.3961626495443227E-2</v>
      </c>
      <c r="O16" s="9">
        <v>0</v>
      </c>
      <c r="P16" s="9">
        <v>0</v>
      </c>
      <c r="Q16" s="9">
        <v>5.3961626495443227E-2</v>
      </c>
      <c r="R16" s="9">
        <v>0</v>
      </c>
      <c r="S16" s="9">
        <v>0</v>
      </c>
      <c r="T16" s="9">
        <v>7.0824634775269235E-2</v>
      </c>
      <c r="U16" s="9">
        <v>0</v>
      </c>
      <c r="V16" s="9">
        <v>0</v>
      </c>
      <c r="W16" s="9">
        <v>7.0824634775269235E-2</v>
      </c>
      <c r="X16" s="9">
        <v>0</v>
      </c>
      <c r="Y16" s="9">
        <v>0</v>
      </c>
      <c r="Z16" s="9">
        <v>7.0824634775269235E-2</v>
      </c>
      <c r="AA16" s="9">
        <v>0</v>
      </c>
      <c r="AB16" s="9">
        <v>0</v>
      </c>
    </row>
    <row r="17" spans="1:36" x14ac:dyDescent="0.25">
      <c r="A17" s="6" t="s">
        <v>26</v>
      </c>
      <c r="B17" s="7" t="s">
        <v>13</v>
      </c>
      <c r="C17" s="7" t="s">
        <v>15</v>
      </c>
      <c r="D17" s="7" t="s">
        <v>68</v>
      </c>
      <c r="E17" s="16" t="s">
        <v>23</v>
      </c>
      <c r="F17" s="16" t="s">
        <v>20</v>
      </c>
      <c r="G17" s="3" t="s">
        <v>18</v>
      </c>
      <c r="H17" s="3"/>
      <c r="I17" s="7" t="s">
        <v>4</v>
      </c>
      <c r="J17" s="7" t="s">
        <v>68</v>
      </c>
      <c r="K17" s="9">
        <v>0.45124906194963615</v>
      </c>
      <c r="L17" s="9">
        <v>3.2</v>
      </c>
      <c r="M17" s="9">
        <v>0</v>
      </c>
      <c r="N17" s="9">
        <v>0.45124906194963615</v>
      </c>
      <c r="O17" s="9">
        <v>3.2</v>
      </c>
      <c r="P17" s="9">
        <v>0</v>
      </c>
      <c r="Q17" s="9">
        <v>0.45124906194963615</v>
      </c>
      <c r="R17" s="9">
        <v>3.2</v>
      </c>
      <c r="S17" s="9">
        <v>0</v>
      </c>
      <c r="T17" s="9">
        <v>0.5922643938088975</v>
      </c>
      <c r="U17" s="9">
        <v>4.2</v>
      </c>
      <c r="V17" s="9">
        <v>0</v>
      </c>
      <c r="W17" s="9">
        <v>0.5922643938088975</v>
      </c>
      <c r="X17" s="9">
        <v>4.2</v>
      </c>
      <c r="Y17" s="9">
        <v>0</v>
      </c>
      <c r="Z17" s="9">
        <v>0.5922643938088975</v>
      </c>
      <c r="AA17" s="9">
        <v>4.2</v>
      </c>
      <c r="AB17" s="9">
        <v>0</v>
      </c>
    </row>
    <row r="18" spans="1:36" x14ac:dyDescent="0.25">
      <c r="A18" s="6" t="s">
        <v>26</v>
      </c>
      <c r="B18" s="7" t="s">
        <v>13</v>
      </c>
      <c r="C18" s="7" t="s">
        <v>15</v>
      </c>
      <c r="D18" s="7" t="s">
        <v>68</v>
      </c>
      <c r="E18" t="s">
        <v>24</v>
      </c>
      <c r="F18" t="s">
        <v>25</v>
      </c>
      <c r="G18" s="3" t="s">
        <v>18</v>
      </c>
      <c r="H18" s="3"/>
      <c r="I18" s="7" t="s">
        <v>4</v>
      </c>
      <c r="J18" s="7" t="s">
        <v>68</v>
      </c>
      <c r="K18" s="9">
        <v>-1.8180000000000002E-2</v>
      </c>
      <c r="L18" s="9">
        <v>-1.8180000000000002E-2</v>
      </c>
      <c r="M18" s="9">
        <v>-1.8180000000000002E-2</v>
      </c>
      <c r="N18" s="9">
        <v>-1.8180000000000002E-2</v>
      </c>
      <c r="O18" s="9">
        <v>-1.8180000000000002E-2</v>
      </c>
      <c r="P18" s="9">
        <v>-1.8180000000000002E-2</v>
      </c>
      <c r="Q18" s="9">
        <v>-1.8180000000000002E-2</v>
      </c>
      <c r="R18" s="9">
        <v>-1.8180000000000002E-2</v>
      </c>
      <c r="S18" s="9">
        <v>-1.8180000000000002E-2</v>
      </c>
      <c r="T18" s="8">
        <v>-9.4500000000000001E-2</v>
      </c>
      <c r="U18" s="8">
        <v>-9.4500000000000001E-2</v>
      </c>
      <c r="V18" s="8">
        <v>-9.4500000000000001E-2</v>
      </c>
      <c r="W18" s="8">
        <v>-9.4500000000000001E-2</v>
      </c>
      <c r="X18" s="8">
        <v>-9.4500000000000001E-2</v>
      </c>
      <c r="Y18" s="8">
        <v>-9.4500000000000001E-2</v>
      </c>
      <c r="Z18" s="8">
        <v>-9.4500000000000001E-2</v>
      </c>
      <c r="AA18" s="8">
        <v>-9.4500000000000001E-2</v>
      </c>
      <c r="AB18" s="8">
        <v>-9.4500000000000001E-2</v>
      </c>
    </row>
    <row r="19" spans="1:36" s="12" customFormat="1" x14ac:dyDescent="0.25">
      <c r="A19" s="10"/>
      <c r="B19" s="10"/>
      <c r="C19" s="11"/>
      <c r="D19" s="10"/>
      <c r="E19" s="11"/>
      <c r="F19" s="11"/>
      <c r="G19" s="11"/>
      <c r="H19" s="11"/>
      <c r="I19" s="11"/>
      <c r="J19" s="11"/>
      <c r="K19" s="14"/>
      <c r="L19" s="14"/>
      <c r="M19" s="15"/>
      <c r="N19" s="14"/>
      <c r="O19" s="14"/>
      <c r="P19" s="15"/>
      <c r="Q19" s="14"/>
      <c r="R19" s="14"/>
      <c r="S19" s="15"/>
      <c r="T19" s="14"/>
      <c r="U19" s="15"/>
      <c r="V19" s="15"/>
      <c r="W19" s="14"/>
      <c r="X19" s="15"/>
      <c r="Y19" s="15"/>
      <c r="Z19" s="14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spans="1:36" x14ac:dyDescent="0.25">
      <c r="A20" s="6" t="s">
        <v>27</v>
      </c>
      <c r="B20" s="7" t="s">
        <v>28</v>
      </c>
      <c r="C20" s="7" t="s">
        <v>15</v>
      </c>
      <c r="D20" s="7" t="s">
        <v>68</v>
      </c>
      <c r="E20" s="6" t="s">
        <v>14</v>
      </c>
      <c r="F20" s="7" t="s">
        <v>13</v>
      </c>
      <c r="G20" s="7" t="s">
        <v>15</v>
      </c>
      <c r="I20" s="7" t="s">
        <v>4</v>
      </c>
      <c r="J20" s="7" t="s">
        <v>68</v>
      </c>
      <c r="K20" s="9">
        <v>0.85</v>
      </c>
      <c r="L20" s="9">
        <v>0.85</v>
      </c>
      <c r="M20" s="9">
        <v>0.85</v>
      </c>
      <c r="N20" s="9">
        <v>1</v>
      </c>
      <c r="O20" s="9">
        <v>1</v>
      </c>
      <c r="P20" s="9">
        <v>1</v>
      </c>
      <c r="Q20" s="9">
        <v>0</v>
      </c>
      <c r="R20" s="9">
        <v>0</v>
      </c>
      <c r="S20" s="9">
        <v>0</v>
      </c>
      <c r="T20" s="9">
        <v>0.85</v>
      </c>
      <c r="U20" s="9">
        <v>0.85</v>
      </c>
      <c r="V20" s="9">
        <v>0.85</v>
      </c>
      <c r="W20" s="9">
        <v>1</v>
      </c>
      <c r="X20" s="9">
        <v>1</v>
      </c>
      <c r="Y20" s="9">
        <v>1</v>
      </c>
      <c r="Z20" s="9">
        <v>0</v>
      </c>
      <c r="AA20" s="9">
        <v>0</v>
      </c>
      <c r="AB20" s="9">
        <v>0</v>
      </c>
    </row>
    <row r="21" spans="1:36" x14ac:dyDescent="0.25">
      <c r="A21" s="6" t="s">
        <v>27</v>
      </c>
      <c r="B21" s="7" t="s">
        <v>28</v>
      </c>
      <c r="C21" s="7" t="s">
        <v>15</v>
      </c>
      <c r="D21" s="7" t="s">
        <v>68</v>
      </c>
      <c r="E21" s="6" t="s">
        <v>26</v>
      </c>
      <c r="F21" s="7" t="s">
        <v>13</v>
      </c>
      <c r="G21" s="7" t="s">
        <v>15</v>
      </c>
      <c r="I21" s="7" t="s">
        <v>4</v>
      </c>
      <c r="J21" s="7" t="s">
        <v>68</v>
      </c>
      <c r="K21" s="9">
        <v>0.15</v>
      </c>
      <c r="L21" s="9">
        <v>0.15</v>
      </c>
      <c r="M21" s="9">
        <v>0.15</v>
      </c>
      <c r="N21" s="9">
        <v>0</v>
      </c>
      <c r="O21" s="9">
        <v>0</v>
      </c>
      <c r="P21" s="9">
        <v>0</v>
      </c>
      <c r="Q21" s="9">
        <v>1</v>
      </c>
      <c r="R21" s="9">
        <v>1</v>
      </c>
      <c r="S21" s="9">
        <v>1</v>
      </c>
      <c r="T21" s="9">
        <v>0.15</v>
      </c>
      <c r="U21" s="9">
        <v>0.15</v>
      </c>
      <c r="V21" s="9">
        <v>0.15</v>
      </c>
      <c r="W21" s="9">
        <v>0</v>
      </c>
      <c r="X21" s="9">
        <v>0</v>
      </c>
      <c r="Y21" s="9">
        <v>0</v>
      </c>
      <c r="Z21" s="9">
        <v>1</v>
      </c>
      <c r="AA21" s="9">
        <v>1</v>
      </c>
      <c r="AB21" s="9">
        <v>1</v>
      </c>
    </row>
    <row r="22" spans="1:36" s="12" customFormat="1" x14ac:dyDescent="0.25">
      <c r="A22" s="10"/>
      <c r="B22" s="10"/>
      <c r="C22" s="11"/>
      <c r="D22" s="10"/>
      <c r="E22" s="11"/>
      <c r="F22" s="11"/>
      <c r="G22" s="11"/>
      <c r="H22" s="11"/>
      <c r="I22" s="11"/>
      <c r="J22" s="11"/>
      <c r="K22" s="14"/>
      <c r="L22" s="14"/>
      <c r="M22" s="15"/>
      <c r="N22" s="14"/>
      <c r="O22" s="14"/>
      <c r="P22" s="14"/>
      <c r="Q22" s="14"/>
      <c r="R22" s="14"/>
      <c r="S22" s="14"/>
      <c r="T22" s="14"/>
      <c r="U22" s="15"/>
      <c r="V22" s="15"/>
      <c r="W22" s="14"/>
      <c r="X22" s="15"/>
      <c r="Y22" s="15"/>
      <c r="Z22" s="14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spans="1:36" x14ac:dyDescent="0.25">
      <c r="A23" t="s">
        <v>49</v>
      </c>
      <c r="B23" t="s">
        <v>50</v>
      </c>
      <c r="C23" s="7" t="s">
        <v>15</v>
      </c>
      <c r="D23" s="7" t="s">
        <v>68</v>
      </c>
      <c r="E23" t="s">
        <v>16</v>
      </c>
      <c r="F23" t="s">
        <v>17</v>
      </c>
      <c r="G23" t="s">
        <v>18</v>
      </c>
      <c r="I23" s="7" t="s">
        <v>4</v>
      </c>
      <c r="J23" s="7" t="s">
        <v>68</v>
      </c>
      <c r="K23" s="17">
        <v>1.1000000000000001</v>
      </c>
      <c r="L23" s="17">
        <v>1.1000000000000001</v>
      </c>
      <c r="M23" s="17">
        <v>1.1000000000000001</v>
      </c>
      <c r="N23" s="17">
        <v>1.1000000000000001</v>
      </c>
      <c r="O23" s="17">
        <v>1.1000000000000001</v>
      </c>
      <c r="P23" s="17">
        <v>1.1000000000000001</v>
      </c>
      <c r="Q23" s="17">
        <v>1.1000000000000001</v>
      </c>
      <c r="R23" s="17">
        <v>1.1000000000000001</v>
      </c>
      <c r="S23" s="17">
        <v>1.1000000000000001</v>
      </c>
      <c r="T23" s="17">
        <v>1.5</v>
      </c>
      <c r="U23" s="17">
        <v>1.5</v>
      </c>
      <c r="V23" s="17">
        <v>1.5</v>
      </c>
      <c r="W23" s="17">
        <v>1.5</v>
      </c>
      <c r="X23" s="17">
        <v>1.5</v>
      </c>
      <c r="Y23" s="17">
        <v>1.5</v>
      </c>
      <c r="Z23" s="17">
        <v>1.5</v>
      </c>
      <c r="AA23" s="17">
        <v>1.5</v>
      </c>
      <c r="AB23" s="17">
        <v>1.5</v>
      </c>
    </row>
    <row r="24" spans="1:36" x14ac:dyDescent="0.25">
      <c r="A24" t="s">
        <v>49</v>
      </c>
      <c r="B24" t="s">
        <v>50</v>
      </c>
      <c r="C24" s="7" t="s">
        <v>15</v>
      </c>
      <c r="D24" s="7" t="s">
        <v>68</v>
      </c>
      <c r="E24" t="s">
        <v>51</v>
      </c>
      <c r="F24" t="s">
        <v>52</v>
      </c>
      <c r="G24" t="s">
        <v>15</v>
      </c>
      <c r="I24" s="7" t="s">
        <v>4</v>
      </c>
      <c r="J24" s="7" t="s">
        <v>68</v>
      </c>
      <c r="K24" s="17">
        <v>1.5</v>
      </c>
      <c r="L24" s="17">
        <v>1.5</v>
      </c>
      <c r="M24" s="17">
        <v>1.5</v>
      </c>
      <c r="N24" s="17">
        <v>1.5</v>
      </c>
      <c r="O24" s="17">
        <v>1.5</v>
      </c>
      <c r="P24" s="17">
        <v>1.5</v>
      </c>
      <c r="Q24" s="17">
        <v>1.5</v>
      </c>
      <c r="R24" s="17">
        <v>1.5</v>
      </c>
      <c r="S24" s="17">
        <v>1.5</v>
      </c>
      <c r="T24" s="17">
        <v>1.7</v>
      </c>
      <c r="U24" s="17">
        <v>1.7</v>
      </c>
      <c r="V24" s="17">
        <v>1.7</v>
      </c>
      <c r="W24" s="17">
        <v>1.7</v>
      </c>
      <c r="X24" s="17">
        <v>1.7</v>
      </c>
      <c r="Y24" s="17">
        <v>1.7</v>
      </c>
      <c r="Z24" s="17">
        <v>1.7</v>
      </c>
      <c r="AA24" s="17">
        <v>1.7</v>
      </c>
      <c r="AB24" s="17">
        <v>1.7</v>
      </c>
    </row>
    <row r="25" spans="1:36" x14ac:dyDescent="0.25">
      <c r="A25" t="s">
        <v>49</v>
      </c>
      <c r="B25" t="s">
        <v>50</v>
      </c>
      <c r="C25" s="7" t="s">
        <v>15</v>
      </c>
      <c r="D25" s="7" t="s">
        <v>68</v>
      </c>
      <c r="E25" t="s">
        <v>53</v>
      </c>
      <c r="F25" t="s">
        <v>54</v>
      </c>
      <c r="G25" t="s">
        <v>18</v>
      </c>
      <c r="I25" s="7" t="s">
        <v>4</v>
      </c>
      <c r="J25" s="7" t="s">
        <v>68</v>
      </c>
      <c r="K25" s="17">
        <v>8.0000000000000004E-4</v>
      </c>
      <c r="L25" s="17">
        <v>8.0000000000000004E-4</v>
      </c>
      <c r="M25" s="17">
        <v>8.0000000000000004E-4</v>
      </c>
      <c r="N25" s="17">
        <v>8.0000000000000004E-4</v>
      </c>
      <c r="O25" s="17">
        <v>8.0000000000000004E-4</v>
      </c>
      <c r="P25" s="17">
        <v>8.0000000000000004E-4</v>
      </c>
      <c r="Q25" s="17">
        <v>8.0000000000000004E-4</v>
      </c>
      <c r="R25" s="17">
        <v>8.0000000000000004E-4</v>
      </c>
      <c r="S25" s="17">
        <v>8.0000000000000004E-4</v>
      </c>
      <c r="T25" s="17">
        <v>2.1000000000000003E-3</v>
      </c>
      <c r="U25" s="17">
        <v>2.1000000000000003E-3</v>
      </c>
      <c r="V25" s="17">
        <v>2.1000000000000003E-3</v>
      </c>
      <c r="W25" s="17">
        <v>2.1000000000000003E-3</v>
      </c>
      <c r="X25" s="17">
        <v>2.1000000000000003E-3</v>
      </c>
      <c r="Y25" s="17">
        <v>2.1000000000000003E-3</v>
      </c>
      <c r="Z25" s="17">
        <v>2.1000000000000003E-3</v>
      </c>
      <c r="AA25" s="17">
        <v>2.1000000000000003E-3</v>
      </c>
      <c r="AB25" s="17">
        <v>2.1000000000000003E-3</v>
      </c>
    </row>
    <row r="26" spans="1:36" x14ac:dyDescent="0.25">
      <c r="A26" t="s">
        <v>49</v>
      </c>
      <c r="B26" t="s">
        <v>50</v>
      </c>
      <c r="C26" s="7" t="s">
        <v>15</v>
      </c>
      <c r="D26" s="7" t="s">
        <v>68</v>
      </c>
      <c r="E26" t="s">
        <v>55</v>
      </c>
      <c r="F26" t="s">
        <v>56</v>
      </c>
      <c r="G26" t="s">
        <v>18</v>
      </c>
      <c r="I26" s="7" t="s">
        <v>4</v>
      </c>
      <c r="J26" s="7" t="s">
        <v>68</v>
      </c>
      <c r="K26" s="17">
        <v>2.0370370370370372</v>
      </c>
      <c r="L26" s="17">
        <v>2.0370370370370372</v>
      </c>
      <c r="M26" s="17">
        <v>2.0370370370370372</v>
      </c>
      <c r="N26" s="17">
        <v>2.0370370370370372</v>
      </c>
      <c r="O26" s="17">
        <v>2.0370370370370372</v>
      </c>
      <c r="P26" s="17">
        <v>2.0370370370370372</v>
      </c>
      <c r="Q26" s="17">
        <v>2.0370370370370372</v>
      </c>
      <c r="R26" s="17">
        <v>2.0370370370370372</v>
      </c>
      <c r="S26" s="17">
        <v>2.0370370370370372</v>
      </c>
      <c r="T26" s="17">
        <v>2.5925925925925921</v>
      </c>
      <c r="U26" s="17">
        <v>2.5925925925925921</v>
      </c>
      <c r="V26" s="17">
        <v>2.5925925925925921</v>
      </c>
      <c r="W26" s="17">
        <v>2.5925925925925921</v>
      </c>
      <c r="X26" s="17">
        <v>2.5925925925925921</v>
      </c>
      <c r="Y26" s="17">
        <v>2.5925925925925921</v>
      </c>
      <c r="Z26" s="17">
        <v>2.5925925925925921</v>
      </c>
      <c r="AA26" s="17">
        <v>2.5925925925925921</v>
      </c>
      <c r="AB26" s="17">
        <v>2.5925925925925921</v>
      </c>
    </row>
    <row r="27" spans="1:36" x14ac:dyDescent="0.25">
      <c r="A27" t="s">
        <v>49</v>
      </c>
      <c r="B27" t="s">
        <v>50</v>
      </c>
      <c r="C27" s="7" t="s">
        <v>15</v>
      </c>
      <c r="D27" s="7" t="s">
        <v>68</v>
      </c>
      <c r="E27" t="s">
        <v>19</v>
      </c>
      <c r="F27" t="s">
        <v>20</v>
      </c>
      <c r="G27" t="s">
        <v>18</v>
      </c>
      <c r="I27" s="7" t="s">
        <v>4</v>
      </c>
      <c r="J27" s="7" t="s">
        <v>68</v>
      </c>
      <c r="K27" s="17">
        <v>0.30555555555555558</v>
      </c>
      <c r="L27" s="17">
        <v>0</v>
      </c>
      <c r="M27" s="17">
        <v>0</v>
      </c>
      <c r="N27" s="17">
        <v>0.30555555555555558</v>
      </c>
      <c r="O27" s="17">
        <v>0</v>
      </c>
      <c r="P27" s="17">
        <v>0</v>
      </c>
      <c r="Q27" s="17">
        <v>0.30555555555555558</v>
      </c>
      <c r="R27" s="17">
        <v>0</v>
      </c>
      <c r="S27" s="17">
        <v>0</v>
      </c>
      <c r="T27" s="17">
        <v>0.45833333333343751</v>
      </c>
      <c r="U27" s="17">
        <v>0</v>
      </c>
      <c r="V27" s="17">
        <v>0</v>
      </c>
      <c r="W27" s="17">
        <v>0.45833333333343751</v>
      </c>
      <c r="X27" s="17">
        <v>0</v>
      </c>
      <c r="Y27" s="17">
        <v>0</v>
      </c>
      <c r="Z27" s="17">
        <v>0.45833333333343751</v>
      </c>
      <c r="AA27" s="17">
        <v>0</v>
      </c>
      <c r="AB27" s="17">
        <v>0</v>
      </c>
    </row>
    <row r="28" spans="1:36" x14ac:dyDescent="0.25">
      <c r="A28" t="s">
        <v>49</v>
      </c>
      <c r="B28" t="s">
        <v>50</v>
      </c>
      <c r="C28" s="7" t="s">
        <v>15</v>
      </c>
      <c r="D28" s="7" t="s">
        <v>68</v>
      </c>
      <c r="E28" t="s">
        <v>21</v>
      </c>
      <c r="F28" t="s">
        <v>22</v>
      </c>
      <c r="G28" t="s">
        <v>18</v>
      </c>
      <c r="I28" s="7" t="s">
        <v>4</v>
      </c>
      <c r="J28" s="7" t="s">
        <v>68</v>
      </c>
      <c r="K28" s="17">
        <v>4.583333333333333</v>
      </c>
      <c r="L28" s="17">
        <v>0</v>
      </c>
      <c r="M28" s="17">
        <v>6.1111111111111107</v>
      </c>
      <c r="N28" s="17">
        <v>4.583333333333333</v>
      </c>
      <c r="O28" s="17">
        <v>0</v>
      </c>
      <c r="P28" s="17">
        <v>6.1111111111111107</v>
      </c>
      <c r="Q28" s="17">
        <v>4.583333333333333</v>
      </c>
      <c r="R28" s="17">
        <v>0</v>
      </c>
      <c r="S28" s="17">
        <v>6.1111111111111107</v>
      </c>
      <c r="T28" s="17">
        <v>6.8749999999998694</v>
      </c>
      <c r="U28" s="17">
        <v>0</v>
      </c>
      <c r="V28" s="17">
        <v>9.1666666666666661</v>
      </c>
      <c r="W28" s="17">
        <v>6.8749999999998694</v>
      </c>
      <c r="X28" s="17">
        <v>0</v>
      </c>
      <c r="Y28" s="17">
        <v>9.1666666666666661</v>
      </c>
      <c r="Z28" s="17">
        <v>6.8749999999998694</v>
      </c>
      <c r="AA28" s="17">
        <v>0</v>
      </c>
      <c r="AB28" s="17">
        <v>9.1666666666666661</v>
      </c>
    </row>
    <row r="29" spans="1:36" x14ac:dyDescent="0.25">
      <c r="A29" t="s">
        <v>49</v>
      </c>
      <c r="B29" t="s">
        <v>50</v>
      </c>
      <c r="C29" s="7" t="s">
        <v>15</v>
      </c>
      <c r="D29" s="7" t="s">
        <v>68</v>
      </c>
      <c r="E29" t="s">
        <v>23</v>
      </c>
      <c r="F29" t="s">
        <v>20</v>
      </c>
      <c r="G29" t="s">
        <v>18</v>
      </c>
      <c r="I29" s="7" t="s">
        <v>4</v>
      </c>
      <c r="J29" s="7" t="s">
        <v>68</v>
      </c>
      <c r="K29" s="17">
        <v>1.2222222222222223</v>
      </c>
      <c r="L29" s="17">
        <v>6.1111111111111107</v>
      </c>
      <c r="M29" s="17">
        <v>0</v>
      </c>
      <c r="N29" s="17">
        <v>1.2222222222222223</v>
      </c>
      <c r="O29" s="17">
        <v>6.1111111111111107</v>
      </c>
      <c r="P29" s="17">
        <v>0</v>
      </c>
      <c r="Q29" s="17">
        <v>1.2222222222222223</v>
      </c>
      <c r="R29" s="17">
        <v>6.1111111111111107</v>
      </c>
      <c r="S29" s="17">
        <v>0</v>
      </c>
      <c r="T29" s="17">
        <v>1.8333333333332942</v>
      </c>
      <c r="U29" s="17">
        <v>9.1666666666666661</v>
      </c>
      <c r="V29" s="17">
        <v>0</v>
      </c>
      <c r="W29" s="17">
        <v>1.8333333333332942</v>
      </c>
      <c r="X29" s="17">
        <v>9.1666666666666661</v>
      </c>
      <c r="Y29" s="17">
        <v>0</v>
      </c>
      <c r="Z29" s="17">
        <v>1.8333333333332942</v>
      </c>
      <c r="AA29" s="17">
        <v>9.1666666666666661</v>
      </c>
      <c r="AB29" s="17">
        <v>0</v>
      </c>
    </row>
    <row r="30" spans="1:36" x14ac:dyDescent="0.25">
      <c r="A30" t="s">
        <v>49</v>
      </c>
      <c r="B30" t="s">
        <v>50</v>
      </c>
      <c r="C30" s="7" t="s">
        <v>15</v>
      </c>
      <c r="D30" s="7" t="s">
        <v>68</v>
      </c>
      <c r="E30" t="s">
        <v>10</v>
      </c>
      <c r="F30" t="s">
        <v>11</v>
      </c>
      <c r="G30" t="s">
        <v>15</v>
      </c>
      <c r="I30" s="7" t="s">
        <v>4</v>
      </c>
      <c r="J30" s="7" t="s">
        <v>68</v>
      </c>
      <c r="K30" s="17">
        <v>0.05</v>
      </c>
      <c r="L30" s="17">
        <v>0.05</v>
      </c>
      <c r="M30" s="17">
        <v>0.05</v>
      </c>
      <c r="N30" s="17">
        <v>0.05</v>
      </c>
      <c r="O30" s="17">
        <v>0.05</v>
      </c>
      <c r="P30" s="17">
        <v>0.05</v>
      </c>
      <c r="Q30" s="17">
        <v>0.05</v>
      </c>
      <c r="R30" s="17">
        <v>0.05</v>
      </c>
      <c r="S30" s="17">
        <v>0.05</v>
      </c>
      <c r="T30" s="17">
        <v>0.13</v>
      </c>
      <c r="U30" s="17">
        <v>0.13</v>
      </c>
      <c r="V30" s="17">
        <v>0.13</v>
      </c>
      <c r="W30" s="17">
        <v>0.13</v>
      </c>
      <c r="X30" s="17">
        <v>0.13</v>
      </c>
      <c r="Y30" s="17">
        <v>0.13</v>
      </c>
      <c r="Z30" s="17">
        <v>0.13</v>
      </c>
      <c r="AA30" s="17">
        <v>0.13</v>
      </c>
      <c r="AB30" s="17">
        <v>0.13</v>
      </c>
    </row>
    <row r="31" spans="1:36" x14ac:dyDescent="0.25">
      <c r="A31" t="s">
        <v>49</v>
      </c>
      <c r="B31" t="s">
        <v>50</v>
      </c>
      <c r="C31" s="7" t="s">
        <v>15</v>
      </c>
      <c r="D31" s="7" t="s">
        <v>68</v>
      </c>
      <c r="E31" t="s">
        <v>57</v>
      </c>
      <c r="F31" t="s">
        <v>25</v>
      </c>
      <c r="G31" t="s">
        <v>18</v>
      </c>
      <c r="I31" s="7" t="s">
        <v>4</v>
      </c>
      <c r="J31" s="7" t="s">
        <v>68</v>
      </c>
      <c r="K31" s="17">
        <v>-6.0000000000000005E-2</v>
      </c>
      <c r="L31" s="17">
        <v>-6.0000000000000005E-2</v>
      </c>
      <c r="M31" s="17">
        <v>-6.0000000000000005E-2</v>
      </c>
      <c r="N31" s="17">
        <v>-6.0000000000000005E-2</v>
      </c>
      <c r="O31" s="17">
        <v>-6.0000000000000005E-2</v>
      </c>
      <c r="P31" s="17">
        <v>-6.0000000000000005E-2</v>
      </c>
      <c r="Q31" s="17">
        <v>-6.0000000000000005E-2</v>
      </c>
      <c r="R31" s="17">
        <v>-6.0000000000000005E-2</v>
      </c>
      <c r="S31" s="17">
        <v>-6.0000000000000005E-2</v>
      </c>
      <c r="T31" s="17">
        <v>-0.47</v>
      </c>
      <c r="U31" s="17">
        <v>-0.47</v>
      </c>
      <c r="V31" s="17">
        <v>-0.47</v>
      </c>
      <c r="W31" s="17">
        <v>-0.47</v>
      </c>
      <c r="X31" s="17">
        <v>-0.47</v>
      </c>
      <c r="Y31" s="17">
        <v>-0.47</v>
      </c>
      <c r="Z31" s="17">
        <v>-0.47</v>
      </c>
      <c r="AA31" s="17">
        <v>-0.47</v>
      </c>
      <c r="AB31" s="17">
        <v>-0.47</v>
      </c>
    </row>
    <row r="32" spans="1:36" x14ac:dyDescent="0.25">
      <c r="A32" t="s">
        <v>49</v>
      </c>
      <c r="B32" t="s">
        <v>50</v>
      </c>
      <c r="C32" s="7" t="s">
        <v>15</v>
      </c>
      <c r="D32" s="7" t="s">
        <v>68</v>
      </c>
      <c r="E32" t="s">
        <v>58</v>
      </c>
      <c r="H32" t="s">
        <v>62</v>
      </c>
      <c r="I32" s="7" t="s">
        <v>61</v>
      </c>
      <c r="J32" t="s">
        <v>69</v>
      </c>
      <c r="K32" s="17">
        <f>0.555555555555555/1000</f>
        <v>5.5555555555555501E-4</v>
      </c>
      <c r="L32" s="17">
        <f t="shared" ref="L32:S32" si="0">0.555555555555555/1000</f>
        <v>5.5555555555555501E-4</v>
      </c>
      <c r="M32" s="17">
        <f t="shared" si="0"/>
        <v>5.5555555555555501E-4</v>
      </c>
      <c r="N32" s="17">
        <f t="shared" si="0"/>
        <v>5.5555555555555501E-4</v>
      </c>
      <c r="O32" s="17">
        <f t="shared" si="0"/>
        <v>5.5555555555555501E-4</v>
      </c>
      <c r="P32" s="17">
        <f t="shared" si="0"/>
        <v>5.5555555555555501E-4</v>
      </c>
      <c r="Q32" s="17">
        <f t="shared" si="0"/>
        <v>5.5555555555555501E-4</v>
      </c>
      <c r="R32" s="17">
        <f t="shared" si="0"/>
        <v>5.5555555555555501E-4</v>
      </c>
      <c r="S32" s="17">
        <f t="shared" si="0"/>
        <v>5.5555555555555501E-4</v>
      </c>
      <c r="T32" s="17">
        <v>1.1111111111111109E-3</v>
      </c>
      <c r="U32" s="17">
        <v>1.1111111111111109E-3</v>
      </c>
      <c r="V32" s="17">
        <v>1.1111111111111109E-3</v>
      </c>
      <c r="W32" s="17">
        <v>1.1111111111111109E-3</v>
      </c>
      <c r="X32" s="17">
        <v>1.1111111111111109E-3</v>
      </c>
      <c r="Y32" s="17">
        <v>1.1111111111111109E-3</v>
      </c>
      <c r="Z32" s="17">
        <v>1.1111111111111109E-3</v>
      </c>
      <c r="AA32" s="17">
        <v>1.1111111111111109E-3</v>
      </c>
      <c r="AB32" s="17">
        <v>1.1111111111111109E-3</v>
      </c>
    </row>
    <row r="33" spans="1:36" x14ac:dyDescent="0.25">
      <c r="A33" t="s">
        <v>49</v>
      </c>
      <c r="B33" t="s">
        <v>50</v>
      </c>
      <c r="C33" s="7" t="s">
        <v>15</v>
      </c>
      <c r="D33" s="7" t="s">
        <v>68</v>
      </c>
      <c r="E33" t="s">
        <v>59</v>
      </c>
      <c r="H33" t="s">
        <v>62</v>
      </c>
      <c r="I33" s="7" t="s">
        <v>61</v>
      </c>
      <c r="J33" t="s">
        <v>69</v>
      </c>
      <c r="K33" s="17">
        <f>46.2962962962963/1000</f>
        <v>4.6296296296296301E-2</v>
      </c>
      <c r="L33" s="17">
        <f t="shared" ref="L33:S33" si="1">46.2962962962963/1000</f>
        <v>4.6296296296296301E-2</v>
      </c>
      <c r="M33" s="17">
        <f t="shared" si="1"/>
        <v>4.6296296296296301E-2</v>
      </c>
      <c r="N33" s="17">
        <f t="shared" si="1"/>
        <v>4.6296296296296301E-2</v>
      </c>
      <c r="O33" s="17">
        <f t="shared" si="1"/>
        <v>4.6296296296296301E-2</v>
      </c>
      <c r="P33" s="17">
        <f t="shared" si="1"/>
        <v>4.6296296296296301E-2</v>
      </c>
      <c r="Q33" s="17">
        <f t="shared" si="1"/>
        <v>4.6296296296296301E-2</v>
      </c>
      <c r="R33" s="17">
        <f t="shared" si="1"/>
        <v>4.6296296296296301E-2</v>
      </c>
      <c r="S33" s="17">
        <f t="shared" si="1"/>
        <v>4.6296296296296301E-2</v>
      </c>
      <c r="T33" s="17">
        <v>9.2592592592592587E-2</v>
      </c>
      <c r="U33" s="17">
        <v>9.2592592592592587E-2</v>
      </c>
      <c r="V33" s="17">
        <v>9.2592592592592587E-2</v>
      </c>
      <c r="W33" s="17">
        <v>9.2592592592592587E-2</v>
      </c>
      <c r="X33" s="17">
        <v>9.2592592592592587E-2</v>
      </c>
      <c r="Y33" s="17">
        <v>9.2592592592592587E-2</v>
      </c>
      <c r="Z33" s="17">
        <v>9.2592592592592587E-2</v>
      </c>
      <c r="AA33" s="17">
        <v>9.2592592592592587E-2</v>
      </c>
      <c r="AB33" s="17">
        <v>9.2592592592592587E-2</v>
      </c>
    </row>
    <row r="34" spans="1:36" x14ac:dyDescent="0.25">
      <c r="A34" t="s">
        <v>49</v>
      </c>
      <c r="B34" t="s">
        <v>50</v>
      </c>
      <c r="C34" s="7" t="s">
        <v>15</v>
      </c>
      <c r="D34" s="7" t="s">
        <v>68</v>
      </c>
      <c r="E34" t="s">
        <v>60</v>
      </c>
      <c r="H34" t="s">
        <v>63</v>
      </c>
      <c r="I34" s="7" t="s">
        <v>61</v>
      </c>
      <c r="J34" t="s">
        <v>69</v>
      </c>
      <c r="K34" s="17">
        <f>42.6634259259259/1000</f>
        <v>4.2663425925925896E-2</v>
      </c>
      <c r="L34" s="17">
        <f t="shared" ref="L34:S34" si="2">42.6634259259259/1000</f>
        <v>4.2663425925925896E-2</v>
      </c>
      <c r="M34" s="17">
        <f t="shared" si="2"/>
        <v>4.2663425925925896E-2</v>
      </c>
      <c r="N34" s="17">
        <f t="shared" si="2"/>
        <v>4.2663425925925896E-2</v>
      </c>
      <c r="O34" s="17">
        <f t="shared" si="2"/>
        <v>4.2663425925925896E-2</v>
      </c>
      <c r="P34" s="17">
        <f t="shared" si="2"/>
        <v>4.2663425925925896E-2</v>
      </c>
      <c r="Q34" s="17">
        <f t="shared" si="2"/>
        <v>4.2663425925925896E-2</v>
      </c>
      <c r="R34" s="17">
        <f t="shared" si="2"/>
        <v>4.2663425925925896E-2</v>
      </c>
      <c r="S34" s="17">
        <f t="shared" si="2"/>
        <v>4.2663425925925896E-2</v>
      </c>
      <c r="T34" s="17">
        <v>8.6707407407407386E-2</v>
      </c>
      <c r="U34" s="17">
        <v>8.6707407407407386E-2</v>
      </c>
      <c r="V34" s="17">
        <v>8.6707407407407386E-2</v>
      </c>
      <c r="W34" s="17">
        <v>8.6707407407407386E-2</v>
      </c>
      <c r="X34" s="17">
        <v>8.6707407407407386E-2</v>
      </c>
      <c r="Y34" s="17">
        <v>8.6707407407407386E-2</v>
      </c>
      <c r="Z34" s="17">
        <v>8.6707407407407386E-2</v>
      </c>
      <c r="AA34" s="17">
        <v>8.6707407407407386E-2</v>
      </c>
      <c r="AB34" s="17">
        <v>8.6707407407407386E-2</v>
      </c>
    </row>
    <row r="35" spans="1:36" x14ac:dyDescent="0.25">
      <c r="A35" t="s">
        <v>49</v>
      </c>
      <c r="B35" t="s">
        <v>50</v>
      </c>
      <c r="C35" s="7" t="s">
        <v>15</v>
      </c>
      <c r="D35" s="7" t="s">
        <v>68</v>
      </c>
      <c r="E35" t="s">
        <v>60</v>
      </c>
      <c r="H35" t="s">
        <v>64</v>
      </c>
      <c r="I35" s="7" t="s">
        <v>61</v>
      </c>
      <c r="J35" t="s">
        <v>69</v>
      </c>
      <c r="K35" s="17">
        <f>2.42916666666667/1000</f>
        <v>2.4291666666666697E-3</v>
      </c>
      <c r="L35" s="17">
        <f t="shared" ref="L35:S35" si="3">2.42916666666667/1000</f>
        <v>2.4291666666666697E-3</v>
      </c>
      <c r="M35" s="17">
        <f t="shared" si="3"/>
        <v>2.4291666666666697E-3</v>
      </c>
      <c r="N35" s="17">
        <f t="shared" si="3"/>
        <v>2.4291666666666697E-3</v>
      </c>
      <c r="O35" s="17">
        <f t="shared" si="3"/>
        <v>2.4291666666666697E-3</v>
      </c>
      <c r="P35" s="17">
        <f t="shared" si="3"/>
        <v>2.4291666666666697E-3</v>
      </c>
      <c r="Q35" s="17">
        <f t="shared" si="3"/>
        <v>2.4291666666666697E-3</v>
      </c>
      <c r="R35" s="17">
        <f t="shared" si="3"/>
        <v>2.4291666666666697E-3</v>
      </c>
      <c r="S35" s="17">
        <f t="shared" si="3"/>
        <v>2.4291666666666697E-3</v>
      </c>
      <c r="T35" s="17">
        <v>4.7740740740740738E-3</v>
      </c>
      <c r="U35" s="17">
        <v>4.7740740740740738E-3</v>
      </c>
      <c r="V35" s="17">
        <v>4.7740740740740738E-3</v>
      </c>
      <c r="W35" s="17">
        <v>4.7740740740740738E-3</v>
      </c>
      <c r="X35" s="17">
        <v>4.7740740740740738E-3</v>
      </c>
      <c r="Y35" s="17">
        <v>4.7740740740740738E-3</v>
      </c>
      <c r="Z35" s="17">
        <v>4.7740740740740738E-3</v>
      </c>
      <c r="AA35" s="17">
        <v>4.7740740740740738E-3</v>
      </c>
      <c r="AB35" s="17">
        <v>4.7740740740740738E-3</v>
      </c>
    </row>
    <row r="36" spans="1:36" s="12" customFormat="1" x14ac:dyDescent="0.25">
      <c r="A36" s="10"/>
      <c r="B36" s="10"/>
      <c r="C36" s="11"/>
      <c r="D36" s="10"/>
      <c r="E36" s="11"/>
      <c r="F36" s="11"/>
      <c r="G36" s="11"/>
      <c r="H36" s="11"/>
      <c r="I36" s="11"/>
      <c r="J36" s="11"/>
      <c r="K36" s="14"/>
      <c r="L36" s="14"/>
      <c r="M36" s="15"/>
      <c r="N36" s="14"/>
      <c r="O36" s="14"/>
      <c r="P36" s="14"/>
      <c r="Q36" s="14"/>
      <c r="R36" s="14"/>
      <c r="S36" s="14"/>
      <c r="T36" s="14"/>
      <c r="U36" s="15"/>
      <c r="V36" s="15"/>
      <c r="W36" s="14"/>
      <c r="X36" s="15"/>
      <c r="Y36" s="15"/>
      <c r="Z36" s="14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spans="1:36" x14ac:dyDescent="0.25">
      <c r="A37" t="s">
        <v>65</v>
      </c>
      <c r="B37" t="s">
        <v>50</v>
      </c>
      <c r="C37" s="7" t="s">
        <v>15</v>
      </c>
      <c r="D37" s="7" t="s">
        <v>68</v>
      </c>
      <c r="E37" t="s">
        <v>16</v>
      </c>
      <c r="F37" t="s">
        <v>17</v>
      </c>
      <c r="G37" t="s">
        <v>18</v>
      </c>
      <c r="I37" s="7" t="s">
        <v>4</v>
      </c>
      <c r="J37" s="7" t="s">
        <v>68</v>
      </c>
      <c r="K37" s="17">
        <v>1.1000000000000001</v>
      </c>
      <c r="L37" s="17">
        <v>1.1000000000000001</v>
      </c>
      <c r="M37" s="17">
        <v>1.1000000000000001</v>
      </c>
      <c r="N37" s="17">
        <v>1.1000000000000001</v>
      </c>
      <c r="O37" s="17">
        <v>1.1000000000000001</v>
      </c>
      <c r="P37" s="17">
        <v>1.1000000000000001</v>
      </c>
      <c r="Q37" s="17">
        <v>1.1000000000000001</v>
      </c>
      <c r="R37" s="17">
        <v>1.1000000000000001</v>
      </c>
      <c r="S37" s="17">
        <v>1.1000000000000001</v>
      </c>
      <c r="T37" s="17">
        <v>1.5</v>
      </c>
      <c r="U37" s="17">
        <v>1.5</v>
      </c>
      <c r="V37" s="17">
        <v>1.5</v>
      </c>
      <c r="W37" s="17">
        <v>1.5</v>
      </c>
      <c r="X37" s="17">
        <v>1.5</v>
      </c>
      <c r="Y37" s="17">
        <v>1.5</v>
      </c>
      <c r="Z37" s="17">
        <v>1.5</v>
      </c>
      <c r="AA37" s="17">
        <v>1.5</v>
      </c>
      <c r="AB37" s="17">
        <v>1.5</v>
      </c>
    </row>
    <row r="38" spans="1:36" x14ac:dyDescent="0.25">
      <c r="A38" t="s">
        <v>65</v>
      </c>
      <c r="B38" t="s">
        <v>50</v>
      </c>
      <c r="C38" s="7" t="s">
        <v>15</v>
      </c>
      <c r="D38" s="7" t="s">
        <v>68</v>
      </c>
      <c r="E38" t="s">
        <v>51</v>
      </c>
      <c r="F38" t="s">
        <v>52</v>
      </c>
      <c r="G38" t="s">
        <v>15</v>
      </c>
      <c r="I38" s="7" t="s">
        <v>4</v>
      </c>
      <c r="J38" s="7" t="s">
        <v>68</v>
      </c>
      <c r="K38" s="17">
        <v>1.5</v>
      </c>
      <c r="L38" s="17">
        <v>1.5</v>
      </c>
      <c r="M38" s="17">
        <v>1.5</v>
      </c>
      <c r="N38" s="17">
        <v>1.5</v>
      </c>
      <c r="O38" s="17">
        <v>1.5</v>
      </c>
      <c r="P38" s="17">
        <v>1.5</v>
      </c>
      <c r="Q38" s="17">
        <v>1.5</v>
      </c>
      <c r="R38" s="17">
        <v>1.5</v>
      </c>
      <c r="S38" s="17">
        <v>1.5</v>
      </c>
      <c r="T38" s="17">
        <v>1.7</v>
      </c>
      <c r="U38" s="17">
        <v>1.7</v>
      </c>
      <c r="V38" s="17">
        <v>1.7</v>
      </c>
      <c r="W38" s="17">
        <v>1.7</v>
      </c>
      <c r="X38" s="17">
        <v>1.7</v>
      </c>
      <c r="Y38" s="17">
        <v>1.7</v>
      </c>
      <c r="Z38" s="17">
        <v>1.7</v>
      </c>
      <c r="AA38" s="17">
        <v>1.7</v>
      </c>
      <c r="AB38" s="17">
        <v>1.7</v>
      </c>
    </row>
    <row r="39" spans="1:36" x14ac:dyDescent="0.25">
      <c r="A39" t="s">
        <v>65</v>
      </c>
      <c r="B39" t="s">
        <v>50</v>
      </c>
      <c r="C39" s="7" t="s">
        <v>15</v>
      </c>
      <c r="D39" s="7" t="s">
        <v>68</v>
      </c>
      <c r="E39" t="s">
        <v>53</v>
      </c>
      <c r="F39" t="s">
        <v>54</v>
      </c>
      <c r="G39" t="s">
        <v>18</v>
      </c>
      <c r="I39" s="7" t="s">
        <v>4</v>
      </c>
      <c r="J39" s="7" t="s">
        <v>68</v>
      </c>
      <c r="K39" s="17">
        <v>8.0000000000000004E-4</v>
      </c>
      <c r="L39" s="17">
        <v>8.0000000000000004E-4</v>
      </c>
      <c r="M39" s="17">
        <v>8.0000000000000004E-4</v>
      </c>
      <c r="N39" s="17">
        <v>8.0000000000000004E-4</v>
      </c>
      <c r="O39" s="17">
        <v>8.0000000000000004E-4</v>
      </c>
      <c r="P39" s="17">
        <v>8.0000000000000004E-4</v>
      </c>
      <c r="Q39" s="17">
        <v>8.0000000000000004E-4</v>
      </c>
      <c r="R39" s="17">
        <v>8.0000000000000004E-4</v>
      </c>
      <c r="S39" s="17">
        <v>8.0000000000000004E-4</v>
      </c>
      <c r="T39" s="17">
        <v>2.1000000000000003E-3</v>
      </c>
      <c r="U39" s="17">
        <v>2.1000000000000003E-3</v>
      </c>
      <c r="V39" s="17">
        <v>2.1000000000000003E-3</v>
      </c>
      <c r="W39" s="17">
        <v>2.1000000000000003E-3</v>
      </c>
      <c r="X39" s="17">
        <v>2.1000000000000003E-3</v>
      </c>
      <c r="Y39" s="17">
        <v>2.1000000000000003E-3</v>
      </c>
      <c r="Z39" s="17">
        <v>2.1000000000000003E-3</v>
      </c>
      <c r="AA39" s="17">
        <v>2.1000000000000003E-3</v>
      </c>
      <c r="AB39" s="17">
        <v>2.1000000000000003E-3</v>
      </c>
    </row>
    <row r="40" spans="1:36" x14ac:dyDescent="0.25">
      <c r="A40" t="s">
        <v>65</v>
      </c>
      <c r="B40" t="s">
        <v>50</v>
      </c>
      <c r="C40" s="7" t="s">
        <v>15</v>
      </c>
      <c r="D40" s="7" t="s">
        <v>68</v>
      </c>
      <c r="E40" t="s">
        <v>55</v>
      </c>
      <c r="F40" t="s">
        <v>56</v>
      </c>
      <c r="G40" t="s">
        <v>18</v>
      </c>
      <c r="I40" s="7" t="s">
        <v>4</v>
      </c>
      <c r="J40" s="7" t="s">
        <v>68</v>
      </c>
      <c r="K40" s="17">
        <v>2.0370370370370372</v>
      </c>
      <c r="L40" s="17">
        <v>2.0370370370370372</v>
      </c>
      <c r="M40" s="17">
        <v>2.0370370370370372</v>
      </c>
      <c r="N40" s="17">
        <v>2.0370370370370372</v>
      </c>
      <c r="O40" s="17">
        <v>2.0370370370370372</v>
      </c>
      <c r="P40" s="17">
        <v>2.0370370370370372</v>
      </c>
      <c r="Q40" s="17">
        <v>2.0370370370370372</v>
      </c>
      <c r="R40" s="17">
        <v>2.0370370370370372</v>
      </c>
      <c r="S40" s="17">
        <v>2.0370370370370372</v>
      </c>
      <c r="T40" s="17">
        <v>2.5925925925925921</v>
      </c>
      <c r="U40" s="17">
        <v>2.5925925925925921</v>
      </c>
      <c r="V40" s="17">
        <v>2.5925925925925921</v>
      </c>
      <c r="W40" s="17">
        <v>2.5925925925925921</v>
      </c>
      <c r="X40" s="17">
        <v>2.5925925925925921</v>
      </c>
      <c r="Y40" s="17">
        <v>2.5925925925925921</v>
      </c>
      <c r="Z40" s="17">
        <v>2.5925925925925921</v>
      </c>
      <c r="AA40" s="17">
        <v>2.5925925925925921</v>
      </c>
      <c r="AB40" s="17">
        <v>2.5925925925925921</v>
      </c>
    </row>
    <row r="41" spans="1:36" x14ac:dyDescent="0.25">
      <c r="A41" t="s">
        <v>65</v>
      </c>
      <c r="B41" t="s">
        <v>50</v>
      </c>
      <c r="C41" s="7" t="s">
        <v>15</v>
      </c>
      <c r="D41" s="7" t="s">
        <v>68</v>
      </c>
      <c r="E41" t="s">
        <v>19</v>
      </c>
      <c r="F41" t="s">
        <v>20</v>
      </c>
      <c r="G41" t="s">
        <v>18</v>
      </c>
      <c r="I41" s="7" t="s">
        <v>4</v>
      </c>
      <c r="J41" s="7" t="s">
        <v>68</v>
      </c>
      <c r="K41" s="17">
        <v>0.35348055555555558</v>
      </c>
      <c r="L41" s="17">
        <v>0</v>
      </c>
      <c r="M41" s="17">
        <v>0</v>
      </c>
      <c r="N41" s="17">
        <v>0.35348055555555558</v>
      </c>
      <c r="O41" s="17">
        <v>0</v>
      </c>
      <c r="P41" s="17">
        <v>0</v>
      </c>
      <c r="Q41" s="17">
        <v>0.35348055555555558</v>
      </c>
      <c r="R41" s="17">
        <v>0</v>
      </c>
      <c r="S41" s="17">
        <v>0</v>
      </c>
      <c r="T41" s="17">
        <v>0.51584333333345056</v>
      </c>
      <c r="U41" s="17">
        <v>0</v>
      </c>
      <c r="V41" s="17">
        <v>0</v>
      </c>
      <c r="W41" s="17">
        <v>0.51584333333345056</v>
      </c>
      <c r="X41" s="17">
        <v>0</v>
      </c>
      <c r="Y41" s="17">
        <v>0</v>
      </c>
      <c r="Z41" s="17">
        <v>0.51584333333345056</v>
      </c>
      <c r="AA41" s="17">
        <v>0</v>
      </c>
      <c r="AB41" s="17">
        <v>0</v>
      </c>
    </row>
    <row r="42" spans="1:36" x14ac:dyDescent="0.25">
      <c r="A42" t="s">
        <v>65</v>
      </c>
      <c r="B42" t="s">
        <v>50</v>
      </c>
      <c r="C42" s="7" t="s">
        <v>15</v>
      </c>
      <c r="D42" s="7" t="s">
        <v>68</v>
      </c>
      <c r="E42" t="s">
        <v>21</v>
      </c>
      <c r="F42" t="s">
        <v>22</v>
      </c>
      <c r="G42" t="s">
        <v>18</v>
      </c>
      <c r="I42" s="7" t="s">
        <v>4</v>
      </c>
      <c r="J42" s="7" t="s">
        <v>68</v>
      </c>
      <c r="K42" s="17">
        <v>5.3022083333333327</v>
      </c>
      <c r="L42" s="17">
        <v>0</v>
      </c>
      <c r="M42" s="17">
        <v>7.0696111111111106</v>
      </c>
      <c r="N42" s="17">
        <v>5.3022083333333327</v>
      </c>
      <c r="O42" s="17">
        <v>0</v>
      </c>
      <c r="P42" s="17">
        <v>7.0696111111111106</v>
      </c>
      <c r="Q42" s="17">
        <v>5.3022083333333327</v>
      </c>
      <c r="R42" s="17">
        <v>0</v>
      </c>
      <c r="S42" s="17">
        <v>7.0696111111111106</v>
      </c>
      <c r="T42" s="17">
        <v>7.7376499999998529</v>
      </c>
      <c r="U42" s="17">
        <v>0</v>
      </c>
      <c r="V42" s="17">
        <v>10.316866666666666</v>
      </c>
      <c r="W42" s="17">
        <v>7.7376499999998529</v>
      </c>
      <c r="X42" s="17">
        <v>0</v>
      </c>
      <c r="Y42" s="17">
        <v>10.316866666666666</v>
      </c>
      <c r="Z42" s="17">
        <v>7.7376499999998529</v>
      </c>
      <c r="AA42" s="17">
        <v>0</v>
      </c>
      <c r="AB42" s="17">
        <v>10.316866666666666</v>
      </c>
    </row>
    <row r="43" spans="1:36" x14ac:dyDescent="0.25">
      <c r="A43" t="s">
        <v>65</v>
      </c>
      <c r="B43" t="s">
        <v>50</v>
      </c>
      <c r="C43" s="7" t="s">
        <v>15</v>
      </c>
      <c r="D43" s="7" t="s">
        <v>68</v>
      </c>
      <c r="E43" t="s">
        <v>23</v>
      </c>
      <c r="F43" t="s">
        <v>20</v>
      </c>
      <c r="G43" t="s">
        <v>18</v>
      </c>
      <c r="I43" s="7" t="s">
        <v>4</v>
      </c>
      <c r="J43" s="7" t="s">
        <v>68</v>
      </c>
      <c r="K43" s="17">
        <v>1.4139222222222223</v>
      </c>
      <c r="L43" s="17">
        <v>7.0696111111111106</v>
      </c>
      <c r="M43" s="17">
        <v>0</v>
      </c>
      <c r="N43" s="17">
        <v>1.4139222222222223</v>
      </c>
      <c r="O43" s="17">
        <v>7.0696111111111106</v>
      </c>
      <c r="P43" s="17">
        <v>0</v>
      </c>
      <c r="Q43" s="17">
        <v>1.4139222222222223</v>
      </c>
      <c r="R43" s="17">
        <v>7.0696111111111106</v>
      </c>
      <c r="S43" s="17">
        <v>0</v>
      </c>
      <c r="T43" s="17">
        <v>2.0633733333332893</v>
      </c>
      <c r="U43" s="17">
        <v>10.316866666666666</v>
      </c>
      <c r="V43" s="17">
        <v>0</v>
      </c>
      <c r="W43" s="17">
        <v>2.0633733333332893</v>
      </c>
      <c r="X43" s="17">
        <v>10.316866666666666</v>
      </c>
      <c r="Y43" s="17">
        <v>0</v>
      </c>
      <c r="Z43" s="17">
        <v>2.0633733333332893</v>
      </c>
      <c r="AA43" s="17">
        <v>10.316866666666666</v>
      </c>
      <c r="AB43" s="17">
        <v>0</v>
      </c>
    </row>
    <row r="44" spans="1:36" x14ac:dyDescent="0.25">
      <c r="A44" t="s">
        <v>65</v>
      </c>
      <c r="B44" t="s">
        <v>50</v>
      </c>
      <c r="C44" s="7" t="s">
        <v>15</v>
      </c>
      <c r="D44" s="7" t="s">
        <v>68</v>
      </c>
      <c r="E44" t="s">
        <v>10</v>
      </c>
      <c r="F44" t="s">
        <v>11</v>
      </c>
      <c r="G44" t="s">
        <v>15</v>
      </c>
      <c r="I44" s="7" t="s">
        <v>4</v>
      </c>
      <c r="J44" s="7" t="s">
        <v>68</v>
      </c>
      <c r="K44" s="17">
        <v>7.9250000000000001E-2</v>
      </c>
      <c r="L44" s="17">
        <v>7.9250000000000001E-2</v>
      </c>
      <c r="M44" s="17">
        <v>7.9250000000000001E-2</v>
      </c>
      <c r="N44" s="17">
        <v>7.9250000000000001E-2</v>
      </c>
      <c r="O44" s="17">
        <v>7.9250000000000001E-2</v>
      </c>
      <c r="P44" s="17">
        <v>7.9250000000000001E-2</v>
      </c>
      <c r="Q44" s="17">
        <v>7.9250000000000001E-2</v>
      </c>
      <c r="R44" s="17">
        <v>7.9250000000000001E-2</v>
      </c>
      <c r="S44" s="17">
        <v>7.9250000000000001E-2</v>
      </c>
      <c r="T44" s="17">
        <v>0.35</v>
      </c>
      <c r="U44" s="17">
        <v>0.35</v>
      </c>
      <c r="V44" s="17">
        <v>0.35</v>
      </c>
      <c r="W44" s="17">
        <v>0.35</v>
      </c>
      <c r="X44" s="17">
        <v>0.35</v>
      </c>
      <c r="Y44" s="17">
        <v>0.35</v>
      </c>
      <c r="Z44" s="17">
        <v>0.35</v>
      </c>
      <c r="AA44" s="17">
        <v>0.35</v>
      </c>
      <c r="AB44" s="17">
        <v>0.35</v>
      </c>
    </row>
    <row r="45" spans="1:36" x14ac:dyDescent="0.25">
      <c r="A45" t="s">
        <v>65</v>
      </c>
      <c r="B45" t="s">
        <v>50</v>
      </c>
      <c r="C45" s="7" t="s">
        <v>15</v>
      </c>
      <c r="D45" s="7" t="s">
        <v>68</v>
      </c>
      <c r="E45" t="s">
        <v>57</v>
      </c>
      <c r="F45" t="s">
        <v>25</v>
      </c>
      <c r="G45" t="s">
        <v>18</v>
      </c>
      <c r="I45" s="7" t="s">
        <v>4</v>
      </c>
      <c r="J45" s="7" t="s">
        <v>68</v>
      </c>
      <c r="K45" s="17">
        <v>-0.06</v>
      </c>
      <c r="L45" s="17">
        <v>-6.0000000000000005E-2</v>
      </c>
      <c r="M45" s="17">
        <v>-6.0000000000000005E-2</v>
      </c>
      <c r="N45" s="17">
        <v>-6.0000000000000005E-2</v>
      </c>
      <c r="O45" s="17">
        <v>-6.0000000000000005E-2</v>
      </c>
      <c r="P45" s="17">
        <v>-6.0000000000000005E-2</v>
      </c>
      <c r="Q45" s="17">
        <v>-6.0000000000000005E-2</v>
      </c>
      <c r="R45" s="17">
        <v>-6.0000000000000005E-2</v>
      </c>
      <c r="S45" s="17">
        <v>-6.0000000000000005E-2</v>
      </c>
      <c r="T45" s="17">
        <v>-0.47</v>
      </c>
      <c r="U45" s="17">
        <v>-0.47</v>
      </c>
      <c r="V45" s="17">
        <v>-0.47</v>
      </c>
      <c r="W45" s="17">
        <v>-0.47</v>
      </c>
      <c r="X45" s="17">
        <v>-0.47</v>
      </c>
      <c r="Y45" s="17">
        <v>-0.47</v>
      </c>
      <c r="Z45" s="17">
        <v>-0.47</v>
      </c>
      <c r="AA45" s="17">
        <v>-0.47</v>
      </c>
      <c r="AB45" s="17">
        <v>-0.47</v>
      </c>
    </row>
    <row r="46" spans="1:36" x14ac:dyDescent="0.25">
      <c r="A46" t="s">
        <v>65</v>
      </c>
      <c r="B46" t="s">
        <v>50</v>
      </c>
      <c r="C46" s="7" t="s">
        <v>15</v>
      </c>
      <c r="D46" s="7" t="s">
        <v>68</v>
      </c>
      <c r="E46" t="s">
        <v>58</v>
      </c>
      <c r="H46" t="s">
        <v>62</v>
      </c>
      <c r="I46" s="7" t="s">
        <v>61</v>
      </c>
      <c r="J46" t="s">
        <v>69</v>
      </c>
      <c r="K46" s="17">
        <f>0.555555555555555/1000</f>
        <v>5.5555555555555501E-4</v>
      </c>
      <c r="L46" s="17">
        <f t="shared" ref="L46:S46" si="4">0.555555555555555/1000</f>
        <v>5.5555555555555501E-4</v>
      </c>
      <c r="M46" s="17">
        <f t="shared" si="4"/>
        <v>5.5555555555555501E-4</v>
      </c>
      <c r="N46" s="17">
        <f t="shared" si="4"/>
        <v>5.5555555555555501E-4</v>
      </c>
      <c r="O46" s="17">
        <f t="shared" si="4"/>
        <v>5.5555555555555501E-4</v>
      </c>
      <c r="P46" s="17">
        <f t="shared" si="4"/>
        <v>5.5555555555555501E-4</v>
      </c>
      <c r="Q46" s="17">
        <f t="shared" si="4"/>
        <v>5.5555555555555501E-4</v>
      </c>
      <c r="R46" s="17">
        <f t="shared" si="4"/>
        <v>5.5555555555555501E-4</v>
      </c>
      <c r="S46" s="17">
        <f t="shared" si="4"/>
        <v>5.5555555555555501E-4</v>
      </c>
      <c r="T46" s="17">
        <v>1.1111111111111109E-3</v>
      </c>
      <c r="U46" s="17">
        <v>1.1111111111111109E-3</v>
      </c>
      <c r="V46" s="17">
        <v>1.1111111111111109E-3</v>
      </c>
      <c r="W46" s="17">
        <v>1.1111111111111109E-3</v>
      </c>
      <c r="X46" s="17">
        <v>1.1111111111111109E-3</v>
      </c>
      <c r="Y46" s="17">
        <v>1.1111111111111109E-3</v>
      </c>
      <c r="Z46" s="17">
        <v>1.1111111111111109E-3</v>
      </c>
      <c r="AA46" s="17">
        <v>1.1111111111111109E-3</v>
      </c>
      <c r="AB46" s="17">
        <v>1.1111111111111109E-3</v>
      </c>
    </row>
    <row r="47" spans="1:36" x14ac:dyDescent="0.25">
      <c r="A47" t="s">
        <v>65</v>
      </c>
      <c r="B47" t="s">
        <v>50</v>
      </c>
      <c r="C47" s="7" t="s">
        <v>15</v>
      </c>
      <c r="D47" s="7" t="s">
        <v>68</v>
      </c>
      <c r="E47" t="s">
        <v>59</v>
      </c>
      <c r="H47" t="s">
        <v>62</v>
      </c>
      <c r="I47" s="7" t="s">
        <v>61</v>
      </c>
      <c r="J47" t="s">
        <v>69</v>
      </c>
      <c r="K47" s="17">
        <f>46.2962962962963/1000</f>
        <v>4.6296296296296301E-2</v>
      </c>
      <c r="L47" s="17">
        <f t="shared" ref="L47:S47" si="5">46.2962962962963/1000</f>
        <v>4.6296296296296301E-2</v>
      </c>
      <c r="M47" s="17">
        <f t="shared" si="5"/>
        <v>4.6296296296296301E-2</v>
      </c>
      <c r="N47" s="17">
        <f t="shared" si="5"/>
        <v>4.6296296296296301E-2</v>
      </c>
      <c r="O47" s="17">
        <f t="shared" si="5"/>
        <v>4.6296296296296301E-2</v>
      </c>
      <c r="P47" s="17">
        <f t="shared" si="5"/>
        <v>4.6296296296296301E-2</v>
      </c>
      <c r="Q47" s="17">
        <f t="shared" si="5"/>
        <v>4.6296296296296301E-2</v>
      </c>
      <c r="R47" s="17">
        <f t="shared" si="5"/>
        <v>4.6296296296296301E-2</v>
      </c>
      <c r="S47" s="17">
        <f t="shared" si="5"/>
        <v>4.6296296296296301E-2</v>
      </c>
      <c r="T47" s="17">
        <v>9.2592592592592587E-2</v>
      </c>
      <c r="U47" s="17">
        <v>9.2592592592592587E-2</v>
      </c>
      <c r="V47" s="17">
        <v>9.2592592592592587E-2</v>
      </c>
      <c r="W47" s="17">
        <v>9.2592592592592587E-2</v>
      </c>
      <c r="X47" s="17">
        <v>9.2592592592592587E-2</v>
      </c>
      <c r="Y47" s="17">
        <v>9.2592592592592587E-2</v>
      </c>
      <c r="Z47" s="17">
        <v>9.2592592592592587E-2</v>
      </c>
      <c r="AA47" s="17">
        <v>9.2592592592592587E-2</v>
      </c>
      <c r="AB47" s="17">
        <v>9.2592592592592587E-2</v>
      </c>
    </row>
    <row r="48" spans="1:36" x14ac:dyDescent="0.25">
      <c r="A48" t="s">
        <v>65</v>
      </c>
      <c r="B48" t="s">
        <v>50</v>
      </c>
      <c r="C48" s="7" t="s">
        <v>15</v>
      </c>
      <c r="D48" s="7" t="s">
        <v>68</v>
      </c>
      <c r="E48" t="s">
        <v>60</v>
      </c>
      <c r="H48" t="s">
        <v>63</v>
      </c>
      <c r="I48" s="7" t="s">
        <v>61</v>
      </c>
      <c r="J48" t="s">
        <v>69</v>
      </c>
      <c r="K48" s="17">
        <f>42.6634259259259/1000</f>
        <v>4.2663425925925896E-2</v>
      </c>
      <c r="L48" s="17">
        <f t="shared" ref="L48:S48" si="6">42.6634259259259/1000</f>
        <v>4.2663425925925896E-2</v>
      </c>
      <c r="M48" s="17">
        <f t="shared" si="6"/>
        <v>4.2663425925925896E-2</v>
      </c>
      <c r="N48" s="17">
        <f t="shared" si="6"/>
        <v>4.2663425925925896E-2</v>
      </c>
      <c r="O48" s="17">
        <f t="shared" si="6"/>
        <v>4.2663425925925896E-2</v>
      </c>
      <c r="P48" s="17">
        <f t="shared" si="6"/>
        <v>4.2663425925925896E-2</v>
      </c>
      <c r="Q48" s="17">
        <f t="shared" si="6"/>
        <v>4.2663425925925896E-2</v>
      </c>
      <c r="R48" s="17">
        <f t="shared" si="6"/>
        <v>4.2663425925925896E-2</v>
      </c>
      <c r="S48" s="17">
        <f t="shared" si="6"/>
        <v>4.2663425925925896E-2</v>
      </c>
      <c r="T48" s="17">
        <v>8.6707407407407386E-2</v>
      </c>
      <c r="U48" s="17">
        <v>8.6707407407407386E-2</v>
      </c>
      <c r="V48" s="17">
        <v>8.6707407407407386E-2</v>
      </c>
      <c r="W48" s="17">
        <v>8.6707407407407386E-2</v>
      </c>
      <c r="X48" s="17">
        <v>8.6707407407407386E-2</v>
      </c>
      <c r="Y48" s="17">
        <v>8.6707407407407386E-2</v>
      </c>
      <c r="Z48" s="17">
        <v>8.6707407407407386E-2</v>
      </c>
      <c r="AA48" s="17">
        <v>8.6707407407407386E-2</v>
      </c>
      <c r="AB48" s="17">
        <v>8.6707407407407386E-2</v>
      </c>
    </row>
    <row r="49" spans="1:36" x14ac:dyDescent="0.25">
      <c r="A49" t="s">
        <v>65</v>
      </c>
      <c r="B49" t="s">
        <v>50</v>
      </c>
      <c r="C49" s="7" t="s">
        <v>15</v>
      </c>
      <c r="D49" s="7" t="s">
        <v>68</v>
      </c>
      <c r="E49" t="s">
        <v>60</v>
      </c>
      <c r="H49" t="s">
        <v>64</v>
      </c>
      <c r="I49" s="7" t="s">
        <v>61</v>
      </c>
      <c r="J49" t="s">
        <v>69</v>
      </c>
      <c r="K49" s="17">
        <f>2.42916666666667/1000</f>
        <v>2.4291666666666697E-3</v>
      </c>
      <c r="L49" s="17">
        <f t="shared" ref="L49:S49" si="7">2.42916666666667/1000</f>
        <v>2.4291666666666697E-3</v>
      </c>
      <c r="M49" s="17">
        <f t="shared" si="7"/>
        <v>2.4291666666666697E-3</v>
      </c>
      <c r="N49" s="17">
        <f t="shared" si="7"/>
        <v>2.4291666666666697E-3</v>
      </c>
      <c r="O49" s="17">
        <f t="shared" si="7"/>
        <v>2.4291666666666697E-3</v>
      </c>
      <c r="P49" s="17">
        <f t="shared" si="7"/>
        <v>2.4291666666666697E-3</v>
      </c>
      <c r="Q49" s="17">
        <f t="shared" si="7"/>
        <v>2.4291666666666697E-3</v>
      </c>
      <c r="R49" s="17">
        <f t="shared" si="7"/>
        <v>2.4291666666666697E-3</v>
      </c>
      <c r="S49" s="17">
        <f t="shared" si="7"/>
        <v>2.4291666666666697E-3</v>
      </c>
      <c r="T49" s="17">
        <v>4.7740740740740738E-3</v>
      </c>
      <c r="U49" s="17">
        <v>4.7740740740740738E-3</v>
      </c>
      <c r="V49" s="17">
        <v>4.7740740740740738E-3</v>
      </c>
      <c r="W49" s="17">
        <v>4.7740740740740738E-3</v>
      </c>
      <c r="X49" s="17">
        <v>4.7740740740740738E-3</v>
      </c>
      <c r="Y49" s="17">
        <v>4.7740740740740738E-3</v>
      </c>
      <c r="Z49" s="17">
        <v>4.7740740740740738E-3</v>
      </c>
      <c r="AA49" s="17">
        <v>4.7740740740740738E-3</v>
      </c>
      <c r="AB49" s="17">
        <v>4.7740740740740738E-3</v>
      </c>
    </row>
    <row r="50" spans="1:36" s="12" customFormat="1" x14ac:dyDescent="0.25">
      <c r="A50" s="10"/>
      <c r="B50" s="10"/>
      <c r="C50" s="11"/>
      <c r="D50" s="10"/>
      <c r="E50" s="11"/>
      <c r="F50" s="11"/>
      <c r="G50" s="11"/>
      <c r="H50" s="11"/>
      <c r="I50" s="11"/>
      <c r="J50" s="11"/>
      <c r="K50" s="14"/>
      <c r="L50" s="14"/>
      <c r="M50" s="15"/>
      <c r="N50" s="14"/>
      <c r="O50" s="14"/>
      <c r="P50" s="14"/>
      <c r="Q50" s="14"/>
      <c r="R50" s="14"/>
      <c r="S50" s="14"/>
      <c r="T50" s="14"/>
      <c r="U50" s="15"/>
      <c r="V50" s="15"/>
      <c r="W50" s="14"/>
      <c r="X50" s="15"/>
      <c r="Y50" s="15"/>
      <c r="Z50" s="14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spans="1:36" x14ac:dyDescent="0.25">
      <c r="A51" t="s">
        <v>66</v>
      </c>
      <c r="B51" t="s">
        <v>50</v>
      </c>
      <c r="C51" s="7" t="s">
        <v>15</v>
      </c>
      <c r="D51" s="7" t="s">
        <v>68</v>
      </c>
      <c r="E51" t="s">
        <v>19</v>
      </c>
      <c r="F51" t="s">
        <v>20</v>
      </c>
      <c r="G51" t="s">
        <v>18</v>
      </c>
      <c r="I51" s="7" t="s">
        <v>4</v>
      </c>
      <c r="J51" s="7" t="s">
        <v>68</v>
      </c>
      <c r="K51" s="17">
        <v>0.11141661725129415</v>
      </c>
      <c r="L51">
        <v>0</v>
      </c>
      <c r="M51">
        <v>0</v>
      </c>
      <c r="N51" s="17">
        <v>0.11141661725129415</v>
      </c>
      <c r="O51">
        <v>0</v>
      </c>
      <c r="P51">
        <v>0</v>
      </c>
      <c r="Q51" s="17">
        <v>0.11141661725129415</v>
      </c>
      <c r="R51">
        <v>0</v>
      </c>
      <c r="S51">
        <v>0</v>
      </c>
      <c r="T51" s="17">
        <v>0.13927077156411768</v>
      </c>
      <c r="U51" s="17">
        <v>0</v>
      </c>
      <c r="V51" s="17">
        <v>0</v>
      </c>
      <c r="W51" s="17">
        <v>0.13927077156411768</v>
      </c>
      <c r="X51" s="17">
        <v>0</v>
      </c>
      <c r="Y51" s="17">
        <v>0</v>
      </c>
      <c r="Z51" s="17">
        <v>0.13927077156411768</v>
      </c>
      <c r="AA51" s="17">
        <v>0</v>
      </c>
      <c r="AB51" s="17">
        <v>0</v>
      </c>
    </row>
    <row r="52" spans="1:36" x14ac:dyDescent="0.25">
      <c r="A52" t="s">
        <v>66</v>
      </c>
      <c r="B52" t="s">
        <v>50</v>
      </c>
      <c r="C52" s="7" t="s">
        <v>15</v>
      </c>
      <c r="D52" s="7" t="s">
        <v>68</v>
      </c>
      <c r="E52" t="s">
        <v>21</v>
      </c>
      <c r="F52" t="s">
        <v>22</v>
      </c>
      <c r="G52" t="s">
        <v>18</v>
      </c>
      <c r="I52" s="7" t="s">
        <v>4</v>
      </c>
      <c r="J52" s="7" t="s">
        <v>68</v>
      </c>
      <c r="K52" s="17">
        <v>1.6712492587694121</v>
      </c>
      <c r="L52">
        <v>0</v>
      </c>
      <c r="M52" s="17">
        <v>2.228332345025883</v>
      </c>
      <c r="N52" s="17">
        <v>1.6712492587694121</v>
      </c>
      <c r="O52">
        <v>0</v>
      </c>
      <c r="P52" s="17">
        <v>2.228332345025883</v>
      </c>
      <c r="Q52" s="17">
        <v>1.6712492587694121</v>
      </c>
      <c r="R52">
        <v>0</v>
      </c>
      <c r="S52" s="17">
        <v>2.228332345025883</v>
      </c>
      <c r="T52" s="17">
        <v>2.0890615734617652</v>
      </c>
      <c r="U52" s="17">
        <v>0</v>
      </c>
      <c r="V52">
        <v>2.7854154312823534</v>
      </c>
      <c r="W52" s="17">
        <v>2.0890615734617652</v>
      </c>
      <c r="X52" s="17">
        <v>0</v>
      </c>
      <c r="Y52">
        <v>2.7854154312823534</v>
      </c>
      <c r="Z52" s="17">
        <v>2.0890615734617652</v>
      </c>
      <c r="AA52" s="17">
        <v>0</v>
      </c>
      <c r="AB52">
        <v>2.7854154312823534</v>
      </c>
    </row>
    <row r="53" spans="1:36" x14ac:dyDescent="0.25">
      <c r="A53" t="s">
        <v>66</v>
      </c>
      <c r="B53" t="s">
        <v>50</v>
      </c>
      <c r="C53" s="7" t="s">
        <v>15</v>
      </c>
      <c r="D53" s="7" t="s">
        <v>68</v>
      </c>
      <c r="E53" t="s">
        <v>23</v>
      </c>
      <c r="F53" t="s">
        <v>20</v>
      </c>
      <c r="G53" t="s">
        <v>18</v>
      </c>
      <c r="I53" s="7" t="s">
        <v>4</v>
      </c>
      <c r="J53" s="7" t="s">
        <v>68</v>
      </c>
      <c r="K53" s="17">
        <v>0.44566646900517659</v>
      </c>
      <c r="L53" s="17">
        <v>2.228332345025883</v>
      </c>
      <c r="M53">
        <v>0</v>
      </c>
      <c r="N53" s="17">
        <v>0.44566646900517659</v>
      </c>
      <c r="O53" s="17">
        <v>2.228332345025883</v>
      </c>
      <c r="P53">
        <v>0</v>
      </c>
      <c r="Q53" s="17">
        <v>0.44566646900517659</v>
      </c>
      <c r="R53" s="17">
        <v>2.228332345025883</v>
      </c>
      <c r="S53">
        <v>0</v>
      </c>
      <c r="T53" s="17">
        <v>0.55708308625647074</v>
      </c>
      <c r="U53">
        <v>2.7854154312823534</v>
      </c>
      <c r="V53" s="17">
        <v>0</v>
      </c>
      <c r="W53" s="17">
        <v>0.55708308625647074</v>
      </c>
      <c r="X53">
        <v>2.7854154312823534</v>
      </c>
      <c r="Y53" s="17">
        <v>0</v>
      </c>
      <c r="Z53" s="17">
        <v>0.55708308625647074</v>
      </c>
      <c r="AA53">
        <v>2.7854154312823534</v>
      </c>
      <c r="AB53" s="17">
        <v>0</v>
      </c>
    </row>
    <row r="54" spans="1:36" x14ac:dyDescent="0.25">
      <c r="A54" t="s">
        <v>66</v>
      </c>
      <c r="B54" t="s">
        <v>50</v>
      </c>
      <c r="C54" s="7" t="s">
        <v>15</v>
      </c>
      <c r="D54" s="7" t="s">
        <v>68</v>
      </c>
      <c r="E54" t="s">
        <v>58</v>
      </c>
      <c r="H54" t="s">
        <v>62</v>
      </c>
      <c r="I54" s="7" t="s">
        <v>61</v>
      </c>
      <c r="J54" t="s">
        <v>69</v>
      </c>
      <c r="K54" s="18">
        <v>1.7212500000000001E-3</v>
      </c>
      <c r="L54" s="18">
        <v>1.7212500000000001E-3</v>
      </c>
      <c r="M54" s="18">
        <v>1.7212500000000001E-3</v>
      </c>
      <c r="N54" s="18">
        <v>1.7212500000000001E-3</v>
      </c>
      <c r="O54" s="18">
        <v>1.7212500000000001E-3</v>
      </c>
      <c r="P54" s="18">
        <v>1.7212500000000001E-3</v>
      </c>
      <c r="Q54" s="18">
        <v>1.7212500000000001E-3</v>
      </c>
      <c r="R54" s="18">
        <v>1.7212500000000001E-3</v>
      </c>
      <c r="S54" s="18">
        <v>1.7212500000000001E-3</v>
      </c>
      <c r="T54">
        <v>2.4199999999999998E-3</v>
      </c>
      <c r="U54">
        <v>2.4199999999999998E-3</v>
      </c>
      <c r="V54">
        <v>2.4199999999999998E-3</v>
      </c>
      <c r="W54">
        <v>2.4199999999999998E-3</v>
      </c>
      <c r="X54">
        <v>2.4199999999999998E-3</v>
      </c>
      <c r="Y54">
        <v>2.4199999999999998E-3</v>
      </c>
      <c r="Z54">
        <v>2.4199999999999998E-3</v>
      </c>
      <c r="AA54">
        <v>2.4199999999999998E-3</v>
      </c>
      <c r="AB54">
        <v>2.4199999999999998E-3</v>
      </c>
    </row>
    <row r="55" spans="1:36" x14ac:dyDescent="0.25">
      <c r="A55" t="s">
        <v>66</v>
      </c>
      <c r="B55" t="s">
        <v>50</v>
      </c>
      <c r="C55" s="7" t="s">
        <v>15</v>
      </c>
      <c r="D55" s="7" t="s">
        <v>68</v>
      </c>
      <c r="E55" t="s">
        <v>60</v>
      </c>
      <c r="H55" t="s">
        <v>63</v>
      </c>
      <c r="I55" s="7" t="s">
        <v>61</v>
      </c>
      <c r="J55" t="s">
        <v>69</v>
      </c>
      <c r="K55" s="18">
        <v>2.5818750000000001E-4</v>
      </c>
      <c r="L55" s="18">
        <v>2.5818750000000001E-4</v>
      </c>
      <c r="M55" s="18">
        <v>2.5818750000000001E-4</v>
      </c>
      <c r="N55" s="18">
        <v>2.5818750000000001E-4</v>
      </c>
      <c r="O55" s="18">
        <v>2.5818750000000001E-4</v>
      </c>
      <c r="P55" s="18">
        <v>2.5818750000000001E-4</v>
      </c>
      <c r="Q55" s="18">
        <v>2.5818750000000001E-4</v>
      </c>
      <c r="R55" s="18">
        <v>2.5818750000000001E-4</v>
      </c>
      <c r="S55" s="18">
        <v>2.5818750000000001E-4</v>
      </c>
      <c r="T55">
        <v>4.84E-4</v>
      </c>
      <c r="U55">
        <v>4.84E-4</v>
      </c>
      <c r="V55">
        <v>4.84E-4</v>
      </c>
      <c r="W55">
        <v>4.84E-4</v>
      </c>
      <c r="X55">
        <v>4.84E-4</v>
      </c>
      <c r="Y55">
        <v>4.84E-4</v>
      </c>
      <c r="Z55">
        <v>4.84E-4</v>
      </c>
      <c r="AA55">
        <v>4.84E-4</v>
      </c>
      <c r="AB55">
        <v>4.84E-4</v>
      </c>
    </row>
    <row r="56" spans="1:36" x14ac:dyDescent="0.25">
      <c r="A56" t="s">
        <v>66</v>
      </c>
      <c r="B56" t="s">
        <v>50</v>
      </c>
      <c r="C56" s="7" t="s">
        <v>15</v>
      </c>
      <c r="D56" s="7" t="s">
        <v>68</v>
      </c>
      <c r="E56" t="s">
        <v>60</v>
      </c>
      <c r="H56" t="s">
        <v>64</v>
      </c>
      <c r="I56" s="7" t="s">
        <v>61</v>
      </c>
      <c r="J56" t="s">
        <v>69</v>
      </c>
      <c r="K56" s="18">
        <v>1.03275E-3</v>
      </c>
      <c r="L56" s="18">
        <v>1.03275E-3</v>
      </c>
      <c r="M56" s="18">
        <v>1.03275E-3</v>
      </c>
      <c r="N56" s="18">
        <v>1.03275E-3</v>
      </c>
      <c r="O56" s="18">
        <v>1.03275E-3</v>
      </c>
      <c r="P56" s="18">
        <v>1.03275E-3</v>
      </c>
      <c r="Q56" s="18">
        <v>1.03275E-3</v>
      </c>
      <c r="R56" s="18">
        <v>1.03275E-3</v>
      </c>
      <c r="S56" s="18">
        <v>1.03275E-3</v>
      </c>
      <c r="T56">
        <v>1.4519999999999999E-3</v>
      </c>
      <c r="U56">
        <v>1.4519999999999999E-3</v>
      </c>
      <c r="V56">
        <v>1.4519999999999999E-3</v>
      </c>
      <c r="W56">
        <v>1.4519999999999999E-3</v>
      </c>
      <c r="X56">
        <v>1.4519999999999999E-3</v>
      </c>
      <c r="Y56">
        <v>1.4519999999999999E-3</v>
      </c>
      <c r="Z56">
        <v>1.4519999999999999E-3</v>
      </c>
      <c r="AA56">
        <v>1.4519999999999999E-3</v>
      </c>
      <c r="AB56">
        <v>1.4519999999999999E-3</v>
      </c>
    </row>
    <row r="57" spans="1:36" s="12" customFormat="1" x14ac:dyDescent="0.25">
      <c r="A57" s="10"/>
      <c r="B57" s="10"/>
      <c r="C57" s="11"/>
      <c r="D57" s="10"/>
      <c r="E57" s="11"/>
      <c r="F57" s="11"/>
      <c r="G57" s="11"/>
      <c r="H57" s="11"/>
      <c r="I57" s="11"/>
      <c r="J57" s="11"/>
      <c r="K57" s="14"/>
      <c r="L57" s="14"/>
      <c r="M57" s="15"/>
      <c r="N57" s="14"/>
      <c r="O57" s="14"/>
      <c r="P57" s="14"/>
      <c r="Q57" s="14"/>
      <c r="R57" s="14"/>
      <c r="S57" s="14"/>
      <c r="T57" s="14"/>
      <c r="U57" s="15"/>
      <c r="V57" s="15"/>
      <c r="W57" s="14"/>
      <c r="X57" s="15"/>
      <c r="Y57" s="15"/>
      <c r="Z57" s="14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spans="1:36" x14ac:dyDescent="0.25">
      <c r="A58" t="s">
        <v>67</v>
      </c>
      <c r="B58" t="s">
        <v>50</v>
      </c>
      <c r="C58" s="7" t="s">
        <v>15</v>
      </c>
      <c r="D58" s="7" t="s">
        <v>68</v>
      </c>
      <c r="E58" t="s">
        <v>49</v>
      </c>
      <c r="F58" t="s">
        <v>50</v>
      </c>
      <c r="G58" s="7" t="s">
        <v>15</v>
      </c>
      <c r="I58" s="7" t="s">
        <v>4</v>
      </c>
      <c r="J58" s="7" t="s">
        <v>68</v>
      </c>
      <c r="K58" s="17">
        <v>0.52495619606900867</v>
      </c>
      <c r="L58" s="17">
        <v>0.52495619606900867</v>
      </c>
      <c r="M58" s="17">
        <v>0.52495619606900867</v>
      </c>
      <c r="N58" s="17">
        <f>1-N60</f>
        <v>0.61759552478706903</v>
      </c>
      <c r="O58" s="17">
        <f>1-O60</f>
        <v>0.61759552478706903</v>
      </c>
      <c r="P58" s="17">
        <f>1-P60</f>
        <v>0.61759552478706903</v>
      </c>
      <c r="Q58" s="17">
        <v>0</v>
      </c>
      <c r="R58" s="17">
        <v>0</v>
      </c>
      <c r="S58" s="17">
        <v>0</v>
      </c>
      <c r="T58" s="17">
        <v>0.52495619606900867</v>
      </c>
      <c r="U58" s="17">
        <v>0.52495619606900867</v>
      </c>
      <c r="V58" s="17">
        <v>0.52495619606900867</v>
      </c>
      <c r="W58" s="17">
        <f>1-W60</f>
        <v>0.61759552478706903</v>
      </c>
      <c r="X58" s="17">
        <f>1-X60</f>
        <v>0.61759552478706903</v>
      </c>
      <c r="Y58" s="17">
        <f>1-Y60</f>
        <v>0.61759552478706903</v>
      </c>
      <c r="Z58" s="17">
        <v>0</v>
      </c>
      <c r="AA58" s="17">
        <v>0</v>
      </c>
      <c r="AB58" s="17">
        <v>0</v>
      </c>
    </row>
    <row r="59" spans="1:36" x14ac:dyDescent="0.25">
      <c r="A59" t="s">
        <v>67</v>
      </c>
      <c r="B59" t="s">
        <v>50</v>
      </c>
      <c r="C59" s="7" t="s">
        <v>15</v>
      </c>
      <c r="D59" s="7" t="s">
        <v>68</v>
      </c>
      <c r="E59" t="s">
        <v>65</v>
      </c>
      <c r="F59" t="s">
        <v>50</v>
      </c>
      <c r="G59" s="7" t="s">
        <v>15</v>
      </c>
      <c r="I59" s="7" t="s">
        <v>4</v>
      </c>
      <c r="J59" s="7" t="s">
        <v>68</v>
      </c>
      <c r="K59" s="17">
        <v>9.2639328718060354E-2</v>
      </c>
      <c r="L59" s="17">
        <v>9.2639328718060354E-2</v>
      </c>
      <c r="M59" s="17">
        <v>9.2639328718060354E-2</v>
      </c>
      <c r="N59" s="17">
        <v>0</v>
      </c>
      <c r="O59" s="17">
        <v>0</v>
      </c>
      <c r="P59" s="17">
        <v>0</v>
      </c>
      <c r="Q59" s="17">
        <f>1-Q60</f>
        <v>0.61759552478706903</v>
      </c>
      <c r="R59" s="17">
        <f>1-R60</f>
        <v>0.61759552478706903</v>
      </c>
      <c r="S59" s="17">
        <f>1-S60</f>
        <v>0.61759552478706903</v>
      </c>
      <c r="T59" s="17">
        <v>9.2639328718060354E-2</v>
      </c>
      <c r="U59" s="17">
        <v>9.2639328718060354E-2</v>
      </c>
      <c r="V59" s="17">
        <v>9.2639328718060354E-2</v>
      </c>
      <c r="W59" s="17">
        <v>0</v>
      </c>
      <c r="X59" s="17">
        <v>0</v>
      </c>
      <c r="Y59" s="17">
        <v>0</v>
      </c>
      <c r="Z59" s="17">
        <f>1-Z60</f>
        <v>0.61759552478706903</v>
      </c>
      <c r="AA59" s="17">
        <f>1-AA60</f>
        <v>0.61759552478706903</v>
      </c>
      <c r="AB59" s="17">
        <f>1-AB60</f>
        <v>0.61759552478706903</v>
      </c>
    </row>
    <row r="60" spans="1:36" x14ac:dyDescent="0.25">
      <c r="A60" t="s">
        <v>67</v>
      </c>
      <c r="B60" t="s">
        <v>50</v>
      </c>
      <c r="C60" s="7" t="s">
        <v>15</v>
      </c>
      <c r="D60" s="7" t="s">
        <v>68</v>
      </c>
      <c r="E60" t="s">
        <v>66</v>
      </c>
      <c r="F60" t="s">
        <v>50</v>
      </c>
      <c r="G60" s="7" t="s">
        <v>15</v>
      </c>
      <c r="I60" s="7" t="s">
        <v>4</v>
      </c>
      <c r="J60" s="7" t="s">
        <v>68</v>
      </c>
      <c r="K60" s="17">
        <v>0.38240447521293092</v>
      </c>
      <c r="L60" s="17">
        <v>0.38240447521293092</v>
      </c>
      <c r="M60" s="17">
        <v>0.38240447521293092</v>
      </c>
      <c r="N60" s="17">
        <v>0.38240447521293092</v>
      </c>
      <c r="O60" s="17">
        <v>0.38240447521293092</v>
      </c>
      <c r="P60" s="17">
        <v>0.38240447521293092</v>
      </c>
      <c r="Q60" s="17">
        <v>0.38240447521293092</v>
      </c>
      <c r="R60" s="17">
        <v>0.38240447521293092</v>
      </c>
      <c r="S60" s="17">
        <v>0.38240447521293092</v>
      </c>
      <c r="T60" s="17">
        <v>0.38240447521293092</v>
      </c>
      <c r="U60" s="17">
        <v>0.38240447521293092</v>
      </c>
      <c r="V60" s="17">
        <v>0.38240447521293092</v>
      </c>
      <c r="W60" s="17">
        <v>0.38240447521293092</v>
      </c>
      <c r="X60" s="17">
        <v>0.38240447521293092</v>
      </c>
      <c r="Y60" s="17">
        <v>0.38240447521293092</v>
      </c>
      <c r="Z60" s="17">
        <v>0.38240447521293092</v>
      </c>
      <c r="AA60" s="17">
        <v>0.38240447521293092</v>
      </c>
      <c r="AB60" s="17">
        <v>0.38240447521293092</v>
      </c>
    </row>
  </sheetData>
  <phoneticPr fontId="5" type="noConversion"/>
  <pageMargins left="0.7" right="0.7" top="0.75" bottom="0.75" header="0.3" footer="0.3"/>
  <pageSetup paperSize="9" orientation="portrait" verticalDpi="0" r:id="rId1"/>
  <headerFooter>
    <oddFooter>&amp;L_x000D_&amp;1#&amp;"Calibri"&amp;10&amp;K000000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2026-06-13T17:48:58Z</dcterms:modified>
</cp:coreProperties>
</file>