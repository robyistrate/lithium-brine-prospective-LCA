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eidenuniv1-my.sharepoint.com/personal/istrateir_vuw_leidenuniv_nl/Documents/Research/lithium-brine-prospective-LCA/scenario_data/electricity scenarios data/"/>
    </mc:Choice>
  </mc:AlternateContent>
  <xr:revisionPtr revIDLastSave="1508" documentId="13_ncr:1_{108ACCC4-C9EB-491B-BAFF-BDC5E9F0A836}" xr6:coauthVersionLast="47" xr6:coauthVersionMax="47" xr10:uidLastSave="{4136424A-4516-405C-8F68-9FA086A59FCB}"/>
  <bookViews>
    <workbookView xWindow="-28920" yWindow="-990" windowWidth="29040" windowHeight="15720" activeTab="2" xr2:uid="{00000000-000D-0000-FFFF-FFFF00000000}"/>
  </bookViews>
  <sheets>
    <sheet name="AR" sheetId="10" r:id="rId1"/>
    <sheet name="CL" sheetId="11" r:id="rId2"/>
    <sheet name="BO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1" l="1"/>
  <c r="P14" i="11"/>
  <c r="P13" i="11"/>
  <c r="P12" i="11"/>
  <c r="O12" i="11"/>
  <c r="P11" i="11"/>
  <c r="O11" i="11"/>
  <c r="P10" i="11"/>
  <c r="O10" i="11"/>
  <c r="P9" i="11"/>
  <c r="O9" i="11"/>
  <c r="P8" i="11"/>
  <c r="O8" i="11"/>
  <c r="O15" i="11"/>
  <c r="O14" i="11"/>
  <c r="O13" i="11"/>
  <c r="P6" i="11"/>
  <c r="O6" i="11"/>
  <c r="P5" i="11"/>
  <c r="O5" i="11"/>
  <c r="P4" i="11"/>
  <c r="O4" i="11"/>
  <c r="P3" i="11"/>
  <c r="O3" i="11"/>
  <c r="P2" i="11"/>
  <c r="O2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M36" i="11" s="1"/>
  <c r="L37" i="11"/>
  <c r="L38" i="11"/>
  <c r="L39" i="11"/>
  <c r="L24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23" i="11"/>
  <c r="C13" i="11"/>
  <c r="F13" i="11"/>
  <c r="K9" i="11" s="1"/>
  <c r="E13" i="11"/>
  <c r="J7" i="11" s="1"/>
  <c r="D13" i="11"/>
  <c r="I7" i="11" s="1"/>
  <c r="H7" i="11"/>
  <c r="B13" i="11"/>
  <c r="G12" i="11" s="1"/>
  <c r="K7" i="11"/>
  <c r="P14" i="10"/>
  <c r="P13" i="10"/>
  <c r="O14" i="10"/>
  <c r="O13" i="10"/>
  <c r="P12" i="10"/>
  <c r="P11" i="10"/>
  <c r="P10" i="10"/>
  <c r="P9" i="10"/>
  <c r="P8" i="10"/>
  <c r="O12" i="10"/>
  <c r="O11" i="10"/>
  <c r="O10" i="10"/>
  <c r="O9" i="10"/>
  <c r="O8" i="10"/>
  <c r="P7" i="10"/>
  <c r="O7" i="10"/>
  <c r="P6" i="10"/>
  <c r="O6" i="10"/>
  <c r="O5" i="10"/>
  <c r="P4" i="10"/>
  <c r="P3" i="10"/>
  <c r="O4" i="10"/>
  <c r="O3" i="10"/>
  <c r="O2" i="10"/>
  <c r="K13" i="10"/>
  <c r="K12" i="10"/>
  <c r="K11" i="10"/>
  <c r="K10" i="10"/>
  <c r="K9" i="10"/>
  <c r="K8" i="10"/>
  <c r="K7" i="10"/>
  <c r="K6" i="10"/>
  <c r="K5" i="10"/>
  <c r="K4" i="10"/>
  <c r="F13" i="10"/>
  <c r="D13" i="10"/>
  <c r="I5" i="10" s="1"/>
  <c r="C13" i="10"/>
  <c r="H11" i="10" s="1"/>
  <c r="B13" i="10"/>
  <c r="G7" i="10" s="1"/>
  <c r="E13" i="10"/>
  <c r="J12" i="10" s="1"/>
  <c r="K12" i="8"/>
  <c r="K14" i="8"/>
  <c r="K15" i="8"/>
  <c r="L15" i="8"/>
  <c r="L13" i="8"/>
  <c r="K13" i="8"/>
  <c r="K6" i="8"/>
  <c r="K7" i="8"/>
  <c r="K5" i="8"/>
  <c r="K3" i="8"/>
  <c r="D5" i="8"/>
  <c r="D6" i="8"/>
  <c r="L5" i="8" s="1"/>
  <c r="D7" i="8"/>
  <c r="L6" i="8" s="1"/>
  <c r="D8" i="8"/>
  <c r="L7" i="8" s="1"/>
  <c r="D9" i="8"/>
  <c r="L12" i="8" s="1"/>
  <c r="D10" i="8"/>
  <c r="D11" i="8"/>
  <c r="L14" i="8" s="1"/>
  <c r="D12" i="8"/>
  <c r="D4" i="8"/>
  <c r="G13" i="8"/>
  <c r="C13" i="8"/>
  <c r="F4" i="8" s="1"/>
  <c r="B13" i="8"/>
  <c r="E12" i="8" s="1"/>
  <c r="G35" i="11" l="1"/>
  <c r="G33" i="11"/>
  <c r="M34" i="11"/>
  <c r="J6" i="11"/>
  <c r="J5" i="11"/>
  <c r="J4" i="11"/>
  <c r="J12" i="11"/>
  <c r="J8" i="11"/>
  <c r="K4" i="11"/>
  <c r="G6" i="11"/>
  <c r="G5" i="11"/>
  <c r="G4" i="11"/>
  <c r="G8" i="11"/>
  <c r="I6" i="11"/>
  <c r="I8" i="11"/>
  <c r="I12" i="11"/>
  <c r="G10" i="11"/>
  <c r="I5" i="11"/>
  <c r="I10" i="11"/>
  <c r="J10" i="11"/>
  <c r="H12" i="11"/>
  <c r="H5" i="11"/>
  <c r="H8" i="11"/>
  <c r="H6" i="11"/>
  <c r="H10" i="11"/>
  <c r="K12" i="11"/>
  <c r="K5" i="11"/>
  <c r="K10" i="11"/>
  <c r="K8" i="11"/>
  <c r="G11" i="11"/>
  <c r="K6" i="11"/>
  <c r="H11" i="11"/>
  <c r="G9" i="11"/>
  <c r="I11" i="11"/>
  <c r="H9" i="11"/>
  <c r="J11" i="11"/>
  <c r="G7" i="11"/>
  <c r="I9" i="11"/>
  <c r="K11" i="11"/>
  <c r="H4" i="11"/>
  <c r="J9" i="11"/>
  <c r="I4" i="11"/>
  <c r="H12" i="10"/>
  <c r="I4" i="10"/>
  <c r="I12" i="10"/>
  <c r="I11" i="10"/>
  <c r="I10" i="10"/>
  <c r="I9" i="10"/>
  <c r="I8" i="10"/>
  <c r="I7" i="10"/>
  <c r="I6" i="10"/>
  <c r="J10" i="10"/>
  <c r="J8" i="10"/>
  <c r="J11" i="10"/>
  <c r="J4" i="10"/>
  <c r="J7" i="10"/>
  <c r="J9" i="10"/>
  <c r="G8" i="10"/>
  <c r="G12" i="10"/>
  <c r="H4" i="10"/>
  <c r="H8" i="10"/>
  <c r="H7" i="10"/>
  <c r="G4" i="10"/>
  <c r="H5" i="10"/>
  <c r="G9" i="10"/>
  <c r="H9" i="10"/>
  <c r="G10" i="10"/>
  <c r="H6" i="10"/>
  <c r="H10" i="10"/>
  <c r="G11" i="10"/>
  <c r="E5" i="8"/>
  <c r="F12" i="8"/>
  <c r="D13" i="8"/>
  <c r="L3" i="8"/>
  <c r="F11" i="8"/>
  <c r="F9" i="8"/>
  <c r="F8" i="8"/>
  <c r="F7" i="8"/>
  <c r="F6" i="8"/>
  <c r="F5" i="8"/>
  <c r="F10" i="8"/>
  <c r="E4" i="8"/>
  <c r="E11" i="8"/>
  <c r="E10" i="8"/>
  <c r="E9" i="8"/>
  <c r="E8" i="8"/>
  <c r="E7" i="8"/>
  <c r="E6" i="8"/>
  <c r="J13" i="11" l="1"/>
  <c r="K13" i="11"/>
  <c r="I13" i="11"/>
  <c r="H13" i="11"/>
  <c r="G13" i="11"/>
  <c r="I13" i="10"/>
  <c r="J13" i="10"/>
  <c r="G13" i="10"/>
  <c r="H13" i="10"/>
  <c r="E13" i="8"/>
  <c r="F13" i="8"/>
</calcChain>
</file>

<file path=xl/sharedStrings.xml><?xml version="1.0" encoding="utf-8"?>
<sst xmlns="http://schemas.openxmlformats.org/spreadsheetml/2006/main" count="225" uniqueCount="77">
  <si>
    <t>Coal</t>
  </si>
  <si>
    <t>Natural gas</t>
  </si>
  <si>
    <t>Bioenergy</t>
  </si>
  <si>
    <t>Nuclear</t>
  </si>
  <si>
    <t>Hydro</t>
  </si>
  <si>
    <t>Wind</t>
  </si>
  <si>
    <t>Solar PV</t>
  </si>
  <si>
    <t>TWh/year</t>
  </si>
  <si>
    <t>Production|Electricity|Coal</t>
  </si>
  <si>
    <t>Production|Electricity|Natural gas combined cycle</t>
  </si>
  <si>
    <t>Production|Electricity|Natural gas conventional</t>
  </si>
  <si>
    <t>Assumed 62% of natural gas production, based on electricity mix in ecoinvent v3.10</t>
  </si>
  <si>
    <t>Assumed 38% of natural gas production, based on electricity mix in ecoinvent v3.10</t>
  </si>
  <si>
    <t>Production|Electricity|Hydro run-of-river</t>
  </si>
  <si>
    <t>Production|Electricity|Wind onshore</t>
  </si>
  <si>
    <t>Production|Electricity|Solar PV</t>
  </si>
  <si>
    <t>Production|Electricity|Bioenergy</t>
  </si>
  <si>
    <t>units</t>
  </si>
  <si>
    <t>Assumed 79% of natural gas production, based on electricity mix in ecoinvent v3.10</t>
  </si>
  <si>
    <t>Assumed 21% of natural gas production, based on electricity mix in ecoinvent v3.10</t>
  </si>
  <si>
    <t>Production|Electricity|Nuclear PWR</t>
  </si>
  <si>
    <t>Production|Electricity|Hydro storage</t>
  </si>
  <si>
    <t>Production|Electricity|Hydro reservoir alpine</t>
  </si>
  <si>
    <t>Production|Electricity|Hydro reservoir non-alpine</t>
  </si>
  <si>
    <t>Production|Electricity|Hydro reservoir tropical</t>
  </si>
  <si>
    <t>Assumed 2% of hydro production, based on electricity mix in ecoinvent v3.10</t>
  </si>
  <si>
    <t>Assumed 25% of hydro production, based on electricity mix in ecoinvent v3.10</t>
  </si>
  <si>
    <t>Assumed 24% of hydro production, based on electricity mix in ecoinvent v3.10</t>
  </si>
  <si>
    <t>Assumed 45% of hydro production, based on electricity mix in ecoinvent v3.10</t>
  </si>
  <si>
    <t>Oil</t>
  </si>
  <si>
    <t>Production|Electricity|Oil</t>
  </si>
  <si>
    <t>References:</t>
  </si>
  <si>
    <t>Plan Eléctrico Referencial del Estado Plurinacional de Bolivia 2035: https://www.mhe.gob.bo/wp-content/uploads/2025/10/PLAN-ELECTRICO-REFERENCIAL-2035-FINAL.pdf</t>
  </si>
  <si>
    <t>Generation (TWh/year)</t>
  </si>
  <si>
    <t>Ember Electricity data explorer: https://ember-energy.org/data/electricity-data-explorer/</t>
  </si>
  <si>
    <t>TOTAL</t>
  </si>
  <si>
    <t>Year</t>
  </si>
  <si>
    <t>Variable</t>
  </si>
  <si>
    <t>Source</t>
  </si>
  <si>
    <t>Plan Electrico</t>
  </si>
  <si>
    <t>Ember</t>
  </si>
  <si>
    <t>Mix (%)</t>
  </si>
  <si>
    <t>Geothermal</t>
  </si>
  <si>
    <t>scenario variable</t>
  </si>
  <si>
    <t>Production|Electricity|Geothermal</t>
  </si>
  <si>
    <t>Notes</t>
  </si>
  <si>
    <t>According to the Plan Electrico, most of the natural gas generation is from combined cycle (in contrast to ecoinvent, which assumes 15% combined cycle and 85% conventional). Figures 13 and 14 in the Plan Electrico suggest that only combined cycle is used</t>
  </si>
  <si>
    <t>Escenarios</t>
  </si>
  <si>
    <t>IEA</t>
  </si>
  <si>
    <t>IEA’s Latin America Energy Outlook 2023: https://www.oecd-ilibrary.org/energy/latin-america-energy-outlook-2023_fd3a6daa-en</t>
  </si>
  <si>
    <t>Coal is assumed to be phased-out by 2035 with all the fossil fuel generation in 2035 coming from natural gas</t>
  </si>
  <si>
    <t>Oil is assumed to be phased-out by 2035 with all the fossil fuel generation in 2035 coming from natural gas</t>
  </si>
  <si>
    <t>Almacenamiento</t>
  </si>
  <si>
    <t>Biocombustible</t>
  </si>
  <si>
    <t>Carbon</t>
  </si>
  <si>
    <t>Co-firing</t>
  </si>
  <si>
    <t>Condensador síncrono</t>
  </si>
  <si>
    <t>Diesel</t>
  </si>
  <si>
    <t>Eolica</t>
  </si>
  <si>
    <t>Ez para flexibilidad</t>
  </si>
  <si>
    <t>Geotermica</t>
  </si>
  <si>
    <t>GNL</t>
  </si>
  <si>
    <t>Hidraulica Embalse</t>
  </si>
  <si>
    <t>Hidraulica Pasada</t>
  </si>
  <si>
    <t>Solar CSP Torre</t>
  </si>
  <si>
    <t>Solar Fotovoltaica</t>
  </si>
  <si>
    <t>(blank)</t>
  </si>
  <si>
    <t>Grand Total</t>
  </si>
  <si>
    <t>PELP</t>
  </si>
  <si>
    <t>Planificacion Energetica de largo plazo (PELP) - Scenario "Carbono Neutralidad": https://energia.gob.cl/pelp/proyecciones-electricas</t>
  </si>
  <si>
    <t>Ministerio de Economia Argentina - Scenario base - LINEAMIENTOS Y ESCENARIOS PARA LA TRANSICION ENERGETICA A 2050: https://www.argentina.gob.ar/sites/default/files/infoleg/res518-386322.pdf</t>
  </si>
  <si>
    <t>Row Labels</t>
  </si>
  <si>
    <t>Sum of Generacion annual [MW]</t>
  </si>
  <si>
    <t>Assumed 100% run-of-river, based on electricity mix in ecoinvent v3.10</t>
  </si>
  <si>
    <t>Assumed 0% of hydro production in 2025 and 39% by 2035 based on PELP</t>
  </si>
  <si>
    <t>Assumed 46% of hydro production in 2025 and 29% by 2035 based on PELP</t>
  </si>
  <si>
    <t>Assumed 54% of hydro production in 2025 and 33% by 2035 based on PELP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</si>
</sst>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1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4" borderId="0" xfId="0" applyNumberForma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9" fontId="1" fillId="4" borderId="0" xfId="0" applyNumberFormat="1" applyFon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9" fontId="0" fillId="4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gentina.gob.ar/sites/default/files/infoleg/res518-3863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1198-3A6D-4F23-8087-2187DA0D14E2}">
  <dimension ref="A1:Q34"/>
  <sheetViews>
    <sheetView zoomScale="85" zoomScaleNormal="85" workbookViewId="0">
      <selection activeCell="D11" sqref="D11"/>
    </sheetView>
  </sheetViews>
  <sheetFormatPr defaultRowHeight="15" x14ac:dyDescent="0.25"/>
  <cols>
    <col min="1" max="1" width="14.42578125" customWidth="1"/>
    <col min="2" max="2" width="12.85546875" customWidth="1"/>
    <col min="3" max="4" width="12.140625" customWidth="1"/>
    <col min="5" max="5" width="10.28515625" bestFit="1" customWidth="1"/>
    <col min="6" max="6" width="14" customWidth="1"/>
    <col min="7" max="7" width="12.85546875" style="6" bestFit="1" customWidth="1"/>
    <col min="8" max="9" width="9.85546875" style="6" customWidth="1"/>
    <col min="10" max="10" width="13" style="6" customWidth="1"/>
    <col min="11" max="11" width="12.42578125" style="6" customWidth="1"/>
    <col min="12" max="12" width="12" bestFit="1" customWidth="1"/>
    <col min="13" max="13" width="42.85546875" bestFit="1" customWidth="1"/>
    <col min="14" max="14" width="9.5703125" customWidth="1"/>
  </cols>
  <sheetData>
    <row r="1" spans="1:17" x14ac:dyDescent="0.25">
      <c r="A1" s="1" t="s">
        <v>37</v>
      </c>
      <c r="B1" s="29" t="s">
        <v>33</v>
      </c>
      <c r="C1" s="29"/>
      <c r="D1" s="29"/>
      <c r="E1" s="29"/>
      <c r="F1" s="29"/>
      <c r="G1" s="30" t="s">
        <v>41</v>
      </c>
      <c r="H1" s="30"/>
      <c r="I1" s="30"/>
      <c r="J1" s="30"/>
      <c r="K1" s="30"/>
      <c r="L1" s="1"/>
      <c r="M1" s="1" t="s">
        <v>43</v>
      </c>
      <c r="N1" t="s">
        <v>17</v>
      </c>
      <c r="O1">
        <v>2025</v>
      </c>
      <c r="P1">
        <v>2035</v>
      </c>
      <c r="Q1" t="s">
        <v>45</v>
      </c>
    </row>
    <row r="2" spans="1:17" s="11" customFormat="1" ht="30" x14ac:dyDescent="0.25">
      <c r="A2" s="11" t="s">
        <v>36</v>
      </c>
      <c r="B2" s="15">
        <v>2025</v>
      </c>
      <c r="C2" s="15">
        <v>2025</v>
      </c>
      <c r="D2" s="15">
        <v>2025</v>
      </c>
      <c r="E2" s="15">
        <v>2035</v>
      </c>
      <c r="F2" s="15">
        <v>2035</v>
      </c>
      <c r="G2" s="17">
        <v>2025</v>
      </c>
      <c r="H2" s="17">
        <v>2025</v>
      </c>
      <c r="I2" s="17">
        <v>2025</v>
      </c>
      <c r="J2" s="17">
        <v>2035</v>
      </c>
      <c r="K2" s="17">
        <v>2035</v>
      </c>
      <c r="L2" s="8"/>
      <c r="M2" s="1" t="s">
        <v>8</v>
      </c>
      <c r="N2" s="11" t="s">
        <v>7</v>
      </c>
      <c r="O2" s="22">
        <f>C4</f>
        <v>2.82</v>
      </c>
      <c r="P2" s="22">
        <v>0</v>
      </c>
      <c r="Q2" s="9" t="s">
        <v>50</v>
      </c>
    </row>
    <row r="3" spans="1:17" s="12" customFormat="1" ht="30" x14ac:dyDescent="0.25">
      <c r="A3" s="12" t="s">
        <v>38</v>
      </c>
      <c r="B3" s="16" t="s">
        <v>47</v>
      </c>
      <c r="C3" s="16" t="s">
        <v>40</v>
      </c>
      <c r="D3" s="16" t="s">
        <v>48</v>
      </c>
      <c r="E3" s="16" t="s">
        <v>47</v>
      </c>
      <c r="F3" s="16" t="s">
        <v>48</v>
      </c>
      <c r="G3" s="18" t="s">
        <v>47</v>
      </c>
      <c r="H3" s="18" t="s">
        <v>40</v>
      </c>
      <c r="I3" s="18" t="s">
        <v>48</v>
      </c>
      <c r="J3" s="18" t="s">
        <v>47</v>
      </c>
      <c r="K3" s="18" t="s">
        <v>48</v>
      </c>
      <c r="L3" s="13"/>
      <c r="M3" s="1" t="s">
        <v>9</v>
      </c>
      <c r="N3" s="11" t="s">
        <v>7</v>
      </c>
      <c r="O3" s="22">
        <f>C5*0.79</f>
        <v>63.753000000000007</v>
      </c>
      <c r="P3" s="22">
        <f>E4*0.79</f>
        <v>34.08188580782921</v>
      </c>
      <c r="Q3" s="3" t="s">
        <v>18</v>
      </c>
    </row>
    <row r="4" spans="1:17" ht="30" x14ac:dyDescent="0.25">
      <c r="A4" s="1" t="s">
        <v>0</v>
      </c>
      <c r="B4" s="31">
        <v>71.017730035328796</v>
      </c>
      <c r="C4" s="19">
        <v>2.82</v>
      </c>
      <c r="D4" s="19">
        <v>10</v>
      </c>
      <c r="E4" s="33">
        <v>43.141627604847102</v>
      </c>
      <c r="F4" s="26">
        <v>0</v>
      </c>
      <c r="G4" s="32">
        <f>B4/B$13</f>
        <v>0.47555573007085622</v>
      </c>
      <c r="H4" s="34">
        <f>C4/C$13</f>
        <v>1.8004213752154764E-2</v>
      </c>
      <c r="I4" s="14">
        <f>D4/D$13</f>
        <v>6.535947712418301E-2</v>
      </c>
      <c r="J4" s="39">
        <f>E4/E$13</f>
        <v>0.23214304982397363</v>
      </c>
      <c r="K4" s="14">
        <f>F4/F$13</f>
        <v>0</v>
      </c>
      <c r="L4" s="6"/>
      <c r="M4" s="1" t="s">
        <v>10</v>
      </c>
      <c r="N4" s="11" t="s">
        <v>7</v>
      </c>
      <c r="O4" s="23">
        <f>C5*0.21</f>
        <v>16.946999999999999</v>
      </c>
      <c r="P4" s="23">
        <f>E4*0.21</f>
        <v>9.0597417970178906</v>
      </c>
      <c r="Q4" s="3" t="s">
        <v>19</v>
      </c>
    </row>
    <row r="5" spans="1:17" ht="30" x14ac:dyDescent="0.25">
      <c r="A5" s="1" t="s">
        <v>1</v>
      </c>
      <c r="B5" s="31"/>
      <c r="C5" s="19">
        <v>80.7</v>
      </c>
      <c r="D5" s="19">
        <v>73</v>
      </c>
      <c r="E5" s="33"/>
      <c r="F5" s="26">
        <v>61.7</v>
      </c>
      <c r="G5" s="32"/>
      <c r="H5" s="34">
        <f t="shared" ref="H5:H12" si="0">C5/C$13</f>
        <v>0.51522696801379064</v>
      </c>
      <c r="I5" s="14">
        <f t="shared" ref="I5:K12" si="1">D5/D$13</f>
        <v>0.47712418300653597</v>
      </c>
      <c r="J5" s="39"/>
      <c r="K5" s="14">
        <f t="shared" si="1"/>
        <v>0.32185706833594152</v>
      </c>
      <c r="L5" s="6"/>
      <c r="M5" s="1" t="s">
        <v>30</v>
      </c>
      <c r="N5" s="11" t="s">
        <v>7</v>
      </c>
      <c r="O5" s="23">
        <f>C6</f>
        <v>5.92</v>
      </c>
      <c r="P5" s="23">
        <v>0</v>
      </c>
      <c r="Q5" s="9" t="s">
        <v>51</v>
      </c>
    </row>
    <row r="6" spans="1:17" ht="30" x14ac:dyDescent="0.25">
      <c r="A6" s="1" t="s">
        <v>29</v>
      </c>
      <c r="B6" s="31"/>
      <c r="C6" s="19">
        <v>5.92</v>
      </c>
      <c r="D6" s="19">
        <v>0</v>
      </c>
      <c r="E6" s="33"/>
      <c r="F6" s="26">
        <v>0</v>
      </c>
      <c r="G6" s="32"/>
      <c r="H6" s="34">
        <f t="shared" si="0"/>
        <v>3.7796079933601491E-2</v>
      </c>
      <c r="I6" s="14">
        <f t="shared" si="1"/>
        <v>0</v>
      </c>
      <c r="J6" s="39"/>
      <c r="K6" s="14">
        <f t="shared" si="1"/>
        <v>0</v>
      </c>
      <c r="L6" s="6"/>
      <c r="M6" s="1" t="s">
        <v>16</v>
      </c>
      <c r="N6" s="11" t="s">
        <v>7</v>
      </c>
      <c r="O6" s="23">
        <f>C7</f>
        <v>2.95</v>
      </c>
      <c r="P6" s="23">
        <f>E7</f>
        <v>3.9823003472120035</v>
      </c>
    </row>
    <row r="7" spans="1:17" ht="30" x14ac:dyDescent="0.25">
      <c r="A7" s="1" t="s">
        <v>2</v>
      </c>
      <c r="B7" s="25">
        <v>0</v>
      </c>
      <c r="C7" s="19">
        <v>2.95</v>
      </c>
      <c r="D7" s="19">
        <v>0</v>
      </c>
      <c r="E7" s="19">
        <v>3.9823003472120035</v>
      </c>
      <c r="F7" s="19">
        <v>6.7</v>
      </c>
      <c r="G7" s="14">
        <f t="shared" ref="G7:G12" si="2">B7/B$13</f>
        <v>0</v>
      </c>
      <c r="H7" s="34">
        <f t="shared" si="0"/>
        <v>1.8834195237183174E-2</v>
      </c>
      <c r="I7" s="14">
        <f t="shared" si="1"/>
        <v>0</v>
      </c>
      <c r="J7" s="34">
        <f t="shared" ref="J7:J12" si="3">E7/E$13</f>
        <v>2.1428569093044535E-2</v>
      </c>
      <c r="K7" s="14">
        <f t="shared" si="1"/>
        <v>3.495044340114762E-2</v>
      </c>
      <c r="L7" s="6"/>
      <c r="M7" s="1" t="s">
        <v>20</v>
      </c>
      <c r="N7" s="11" t="s">
        <v>7</v>
      </c>
      <c r="O7" s="23">
        <f>C8</f>
        <v>10.8</v>
      </c>
      <c r="P7" s="23">
        <f>E8</f>
        <v>16.592907985868401</v>
      </c>
    </row>
    <row r="8" spans="1:17" ht="30" x14ac:dyDescent="0.25">
      <c r="A8" s="1" t="s">
        <v>3</v>
      </c>
      <c r="B8" s="4">
        <v>10.6194574650509</v>
      </c>
      <c r="C8" s="19">
        <v>10.8</v>
      </c>
      <c r="D8" s="19">
        <v>10</v>
      </c>
      <c r="E8" s="19">
        <v>16.592907985868401</v>
      </c>
      <c r="F8" s="19">
        <v>26.7</v>
      </c>
      <c r="G8" s="14">
        <f t="shared" si="2"/>
        <v>7.111102882669465E-2</v>
      </c>
      <c r="H8" s="34">
        <f t="shared" si="0"/>
        <v>6.89523079869757E-2</v>
      </c>
      <c r="I8" s="14">
        <f t="shared" si="1"/>
        <v>6.535947712418301E-2</v>
      </c>
      <c r="J8" s="34">
        <f t="shared" si="3"/>
        <v>8.9285650058675142E-2</v>
      </c>
      <c r="K8" s="14">
        <f t="shared" si="1"/>
        <v>0.13928012519561811</v>
      </c>
      <c r="L8" s="6"/>
      <c r="M8" s="1" t="s">
        <v>21</v>
      </c>
      <c r="N8" s="11" t="s">
        <v>7</v>
      </c>
      <c r="O8" s="23">
        <f>C9*0.02</f>
        <v>0.59399999999999997</v>
      </c>
      <c r="P8" s="23">
        <f>E9*0.02</f>
        <v>1.0486722222154699</v>
      </c>
      <c r="Q8" s="3" t="s">
        <v>25</v>
      </c>
    </row>
    <row r="9" spans="1:17" ht="30" x14ac:dyDescent="0.25">
      <c r="A9" s="1" t="s">
        <v>4</v>
      </c>
      <c r="B9" s="4">
        <v>37.83185329851031</v>
      </c>
      <c r="C9" s="19">
        <v>29.7</v>
      </c>
      <c r="D9" s="19">
        <v>39.200000000000003</v>
      </c>
      <c r="E9" s="19">
        <v>52.433611110773491</v>
      </c>
      <c r="F9" s="19">
        <v>49</v>
      </c>
      <c r="G9" s="14">
        <f t="shared" si="2"/>
        <v>0.25333328179254166</v>
      </c>
      <c r="H9" s="34">
        <f t="shared" si="0"/>
        <v>0.18961884696418313</v>
      </c>
      <c r="I9" s="14">
        <f t="shared" si="1"/>
        <v>0.25620915032679742</v>
      </c>
      <c r="J9" s="34">
        <f t="shared" si="3"/>
        <v>0.28214277189606013</v>
      </c>
      <c r="K9" s="14">
        <f t="shared" si="1"/>
        <v>0.25560772039645274</v>
      </c>
      <c r="L9" s="6"/>
      <c r="M9" s="1" t="s">
        <v>22</v>
      </c>
      <c r="N9" s="11" t="s">
        <v>7</v>
      </c>
      <c r="O9" s="23">
        <f>C9*0.25</f>
        <v>7.4249999999999998</v>
      </c>
      <c r="P9" s="23">
        <f>E9*0.25</f>
        <v>13.108402777693373</v>
      </c>
      <c r="Q9" s="3" t="s">
        <v>26</v>
      </c>
    </row>
    <row r="10" spans="1:17" ht="30" x14ac:dyDescent="0.25">
      <c r="A10" s="1" t="s">
        <v>5</v>
      </c>
      <c r="B10" s="4">
        <v>25.884952256875991</v>
      </c>
      <c r="C10" s="19">
        <v>18.600000000000001</v>
      </c>
      <c r="D10" s="19">
        <v>20.8</v>
      </c>
      <c r="E10" s="19">
        <v>46.46016058995599</v>
      </c>
      <c r="F10" s="19">
        <v>29.3</v>
      </c>
      <c r="G10" s="14">
        <f t="shared" si="2"/>
        <v>0.17333329806858458</v>
      </c>
      <c r="H10" s="34">
        <f t="shared" si="0"/>
        <v>0.11875119708868036</v>
      </c>
      <c r="I10" s="14">
        <f t="shared" si="1"/>
        <v>0.13594771241830067</v>
      </c>
      <c r="J10" s="34">
        <f t="shared" si="3"/>
        <v>0.24999991825649603</v>
      </c>
      <c r="K10" s="14">
        <f t="shared" si="1"/>
        <v>0.1528429838288993</v>
      </c>
      <c r="L10" s="6"/>
      <c r="M10" s="1" t="s">
        <v>23</v>
      </c>
      <c r="N10" s="11" t="s">
        <v>7</v>
      </c>
      <c r="O10" s="23">
        <f>C9*0.24</f>
        <v>7.1279999999999992</v>
      </c>
      <c r="P10" s="23">
        <f>E9*0.24</f>
        <v>12.584066666585636</v>
      </c>
      <c r="Q10" s="3" t="s">
        <v>27</v>
      </c>
    </row>
    <row r="11" spans="1:17" ht="30" x14ac:dyDescent="0.25">
      <c r="A11" s="1" t="s">
        <v>6</v>
      </c>
      <c r="B11" s="4">
        <v>3.9823003472119893</v>
      </c>
      <c r="C11" s="19">
        <v>5.14</v>
      </c>
      <c r="D11" s="19">
        <v>0</v>
      </c>
      <c r="E11" s="19">
        <v>23.230095486248004</v>
      </c>
      <c r="F11" s="19">
        <v>18.3</v>
      </c>
      <c r="G11" s="14">
        <f t="shared" si="2"/>
        <v>2.6666661241322706E-2</v>
      </c>
      <c r="H11" s="34">
        <f t="shared" si="0"/>
        <v>3.2816191023431023E-2</v>
      </c>
      <c r="I11" s="14">
        <f t="shared" si="1"/>
        <v>0</v>
      </c>
      <c r="J11" s="34">
        <f t="shared" si="3"/>
        <v>0.12500004087175068</v>
      </c>
      <c r="K11" s="14">
        <f t="shared" si="1"/>
        <v>9.5461658841940508E-2</v>
      </c>
      <c r="L11" s="6"/>
      <c r="M11" s="1" t="s">
        <v>24</v>
      </c>
      <c r="N11" s="11" t="s">
        <v>7</v>
      </c>
      <c r="O11" s="23">
        <f>C9*0.45</f>
        <v>13.365</v>
      </c>
      <c r="P11" s="23">
        <f>E9*0.45</f>
        <v>23.595124999848071</v>
      </c>
      <c r="Q11" s="3" t="s">
        <v>28</v>
      </c>
    </row>
    <row r="12" spans="1:17" ht="30" x14ac:dyDescent="0.25">
      <c r="A12" s="1" t="s">
        <v>42</v>
      </c>
      <c r="B12" s="4">
        <v>0</v>
      </c>
      <c r="C12" s="19">
        <v>0</v>
      </c>
      <c r="D12" s="19">
        <v>0</v>
      </c>
      <c r="E12" s="19">
        <v>0</v>
      </c>
      <c r="F12" s="19">
        <v>0</v>
      </c>
      <c r="G12" s="14">
        <f t="shared" si="2"/>
        <v>0</v>
      </c>
      <c r="H12" s="34">
        <f t="shared" si="0"/>
        <v>0</v>
      </c>
      <c r="I12" s="14">
        <f t="shared" si="1"/>
        <v>0</v>
      </c>
      <c r="J12" s="34">
        <f t="shared" si="3"/>
        <v>0</v>
      </c>
      <c r="K12" s="14">
        <f t="shared" si="1"/>
        <v>0</v>
      </c>
      <c r="L12" s="6"/>
      <c r="M12" s="1" t="s">
        <v>13</v>
      </c>
      <c r="N12" s="11" t="s">
        <v>7</v>
      </c>
      <c r="O12" s="23">
        <f>C9*0.02</f>
        <v>0.59399999999999997</v>
      </c>
      <c r="P12" s="23">
        <f>E9*0.02</f>
        <v>1.0486722222154699</v>
      </c>
      <c r="Q12" s="3" t="s">
        <v>25</v>
      </c>
    </row>
    <row r="13" spans="1:17" ht="30" x14ac:dyDescent="0.25">
      <c r="A13" s="1" t="s">
        <v>35</v>
      </c>
      <c r="B13" s="24">
        <f t="shared" ref="B13:G13" si="4">SUM(B4:B12)</f>
        <v>149.33629340297801</v>
      </c>
      <c r="C13" s="24">
        <f t="shared" si="4"/>
        <v>156.62999999999997</v>
      </c>
      <c r="D13" s="24">
        <f t="shared" si="4"/>
        <v>153</v>
      </c>
      <c r="E13" s="24">
        <f t="shared" si="4"/>
        <v>185.84070312490496</v>
      </c>
      <c r="F13" s="24">
        <f t="shared" si="4"/>
        <v>191.70000000000005</v>
      </c>
      <c r="G13" s="5">
        <f t="shared" si="4"/>
        <v>0.99999999999999978</v>
      </c>
      <c r="H13" s="35">
        <f t="shared" ref="H13:K13" si="5">SUM(H4:H12)</f>
        <v>1.0000000000000002</v>
      </c>
      <c r="I13" s="5">
        <f t="shared" si="5"/>
        <v>1</v>
      </c>
      <c r="J13" s="35">
        <f t="shared" si="5"/>
        <v>1.0000000000000002</v>
      </c>
      <c r="K13" s="5">
        <f t="shared" si="5"/>
        <v>0.99999999999999978</v>
      </c>
      <c r="L13" s="2"/>
      <c r="M13" s="1" t="s">
        <v>14</v>
      </c>
      <c r="N13" s="11" t="s">
        <v>7</v>
      </c>
      <c r="O13" s="23">
        <f>C10</f>
        <v>18.600000000000001</v>
      </c>
      <c r="P13" s="23">
        <f>E10</f>
        <v>46.46016058995599</v>
      </c>
    </row>
    <row r="14" spans="1:17" ht="30" x14ac:dyDescent="0.25">
      <c r="A14" s="1"/>
      <c r="B14" s="1"/>
      <c r="C14" s="1"/>
      <c r="D14" s="1"/>
      <c r="E14" s="1"/>
      <c r="F14" s="1"/>
      <c r="G14" s="2"/>
      <c r="H14" s="2"/>
      <c r="I14" s="2"/>
      <c r="J14" s="2"/>
      <c r="K14" s="2"/>
      <c r="L14" s="2"/>
      <c r="M14" s="1" t="s">
        <v>15</v>
      </c>
      <c r="N14" s="11" t="s">
        <v>7</v>
      </c>
      <c r="O14" s="23">
        <f>C11</f>
        <v>5.14</v>
      </c>
      <c r="P14" s="23">
        <f>E11</f>
        <v>23.230095486248004</v>
      </c>
    </row>
    <row r="15" spans="1:17" ht="30" x14ac:dyDescent="0.25">
      <c r="A15" s="1"/>
      <c r="B15" s="1"/>
      <c r="C15" s="1"/>
      <c r="D15" s="1"/>
      <c r="E15" s="1"/>
      <c r="F15" s="1"/>
      <c r="G15" s="2"/>
      <c r="H15" s="2"/>
      <c r="I15" s="2"/>
      <c r="J15" s="2"/>
      <c r="K15" s="2"/>
      <c r="L15" s="2"/>
      <c r="M15" s="1" t="s">
        <v>44</v>
      </c>
      <c r="N15" s="11" t="s">
        <v>7</v>
      </c>
      <c r="O15" s="23">
        <v>0</v>
      </c>
      <c r="P15" s="23">
        <v>0</v>
      </c>
    </row>
    <row r="16" spans="1:17" x14ac:dyDescent="0.25">
      <c r="A16" s="1"/>
      <c r="B16" s="1"/>
      <c r="C16" s="1"/>
      <c r="D16" s="1"/>
      <c r="E16" s="1"/>
      <c r="F16" s="1"/>
      <c r="G16" s="2"/>
      <c r="H16" s="2"/>
      <c r="I16" s="2"/>
      <c r="J16" s="2"/>
      <c r="K16" s="2"/>
      <c r="L16" s="2"/>
    </row>
    <row r="17" spans="1:9" x14ac:dyDescent="0.25">
      <c r="A17" s="1" t="s">
        <v>31</v>
      </c>
    </row>
    <row r="18" spans="1:9" x14ac:dyDescent="0.25">
      <c r="A18" t="s">
        <v>70</v>
      </c>
    </row>
    <row r="19" spans="1:9" x14ac:dyDescent="0.25">
      <c r="A19" t="s">
        <v>34</v>
      </c>
    </row>
    <row r="20" spans="1:9" x14ac:dyDescent="0.25">
      <c r="A20" t="s">
        <v>49</v>
      </c>
    </row>
    <row r="26" spans="1:9" x14ac:dyDescent="0.25">
      <c r="H26" s="7"/>
      <c r="I26" s="10"/>
    </row>
    <row r="27" spans="1:9" x14ac:dyDescent="0.25">
      <c r="H27" s="10"/>
      <c r="I27" s="10"/>
    </row>
    <row r="28" spans="1:9" x14ac:dyDescent="0.25">
      <c r="H28" s="7"/>
      <c r="I28" s="10"/>
    </row>
    <row r="29" spans="1:9" x14ac:dyDescent="0.25">
      <c r="H29" s="7"/>
      <c r="I29" s="7"/>
    </row>
    <row r="30" spans="1:9" x14ac:dyDescent="0.25">
      <c r="H30" s="7"/>
      <c r="I30" s="7"/>
    </row>
    <row r="31" spans="1:9" x14ac:dyDescent="0.25">
      <c r="H31" s="10"/>
      <c r="I31" s="10"/>
    </row>
    <row r="32" spans="1:9" x14ac:dyDescent="0.25">
      <c r="H32" s="10"/>
      <c r="I32" s="10"/>
    </row>
    <row r="33" spans="8:9" x14ac:dyDescent="0.25">
      <c r="H33" s="7"/>
      <c r="I33" s="7"/>
    </row>
    <row r="34" spans="8:9" x14ac:dyDescent="0.25">
      <c r="H34" s="7"/>
      <c r="I34" s="7"/>
    </row>
  </sheetData>
  <mergeCells count="6">
    <mergeCell ref="B4:B6"/>
    <mergeCell ref="G4:G6"/>
    <mergeCell ref="J4:J6"/>
    <mergeCell ref="E4:E6"/>
    <mergeCell ref="B1:F1"/>
    <mergeCell ref="G1:K1"/>
  </mergeCells>
  <hyperlinks>
    <hyperlink ref="A18" r:id="rId1" display="https://www.argentina.gob.ar/sites/default/files/infoleg/res518-386322.pdf" xr:uid="{01562E13-D0A3-42B5-8B70-0C030C91077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A9F0-1AC3-4812-B3C0-95B38B3C6E09}">
  <dimension ref="A1:Q39"/>
  <sheetViews>
    <sheetView workbookViewId="0">
      <selection activeCell="J12" sqref="J12"/>
    </sheetView>
  </sheetViews>
  <sheetFormatPr defaultRowHeight="15" x14ac:dyDescent="0.25"/>
  <cols>
    <col min="1" max="1" width="14.42578125" customWidth="1"/>
    <col min="2" max="2" width="12.85546875" customWidth="1"/>
    <col min="3" max="4" width="12.140625" customWidth="1"/>
    <col min="5" max="5" width="10.28515625" bestFit="1" customWidth="1"/>
    <col min="6" max="6" width="14" customWidth="1"/>
    <col min="7" max="7" width="12.85546875" style="6" bestFit="1" customWidth="1"/>
    <col min="8" max="9" width="9.85546875" style="6" customWidth="1"/>
    <col min="10" max="10" width="13" style="6" customWidth="1"/>
    <col min="11" max="11" width="12.42578125" style="6" customWidth="1"/>
    <col min="12" max="12" width="12" bestFit="1" customWidth="1"/>
    <col min="13" max="13" width="42.85546875" bestFit="1" customWidth="1"/>
    <col min="14" max="14" width="9.5703125" customWidth="1"/>
  </cols>
  <sheetData>
    <row r="1" spans="1:17" x14ac:dyDescent="0.25">
      <c r="A1" s="1" t="s">
        <v>37</v>
      </c>
      <c r="B1" s="29" t="s">
        <v>33</v>
      </c>
      <c r="C1" s="29"/>
      <c r="D1" s="29"/>
      <c r="E1" s="29"/>
      <c r="F1" s="29"/>
      <c r="G1" s="30" t="s">
        <v>41</v>
      </c>
      <c r="H1" s="30"/>
      <c r="I1" s="30"/>
      <c r="J1" s="30"/>
      <c r="K1" s="30"/>
      <c r="L1" s="1"/>
      <c r="M1" s="1" t="s">
        <v>43</v>
      </c>
      <c r="N1" t="s">
        <v>17</v>
      </c>
      <c r="O1">
        <v>2025</v>
      </c>
      <c r="P1">
        <v>2035</v>
      </c>
      <c r="Q1" t="s">
        <v>45</v>
      </c>
    </row>
    <row r="2" spans="1:17" s="11" customFormat="1" ht="30" x14ac:dyDescent="0.25">
      <c r="A2" s="11" t="s">
        <v>36</v>
      </c>
      <c r="B2" s="15">
        <v>2025</v>
      </c>
      <c r="C2" s="15">
        <v>2025</v>
      </c>
      <c r="D2" s="15">
        <v>2025</v>
      </c>
      <c r="E2" s="15">
        <v>2035</v>
      </c>
      <c r="F2" s="15">
        <v>2035</v>
      </c>
      <c r="G2" s="17">
        <v>2025</v>
      </c>
      <c r="H2" s="17">
        <v>2025</v>
      </c>
      <c r="I2" s="17">
        <v>2025</v>
      </c>
      <c r="J2" s="17">
        <v>2035</v>
      </c>
      <c r="K2" s="17">
        <v>2035</v>
      </c>
      <c r="L2" s="8"/>
      <c r="M2" s="1" t="s">
        <v>8</v>
      </c>
      <c r="N2" s="11" t="s">
        <v>7</v>
      </c>
      <c r="O2" s="22">
        <f>C4</f>
        <v>15.7</v>
      </c>
      <c r="P2" s="22">
        <f>E4</f>
        <v>0</v>
      </c>
      <c r="Q2" s="9"/>
    </row>
    <row r="3" spans="1:17" s="12" customFormat="1" ht="30" x14ac:dyDescent="0.25">
      <c r="A3" s="12" t="s">
        <v>38</v>
      </c>
      <c r="B3" s="16" t="s">
        <v>68</v>
      </c>
      <c r="C3" s="16" t="s">
        <v>40</v>
      </c>
      <c r="D3" s="16" t="s">
        <v>48</v>
      </c>
      <c r="E3" s="16" t="s">
        <v>68</v>
      </c>
      <c r="F3" s="16" t="s">
        <v>48</v>
      </c>
      <c r="G3" s="18" t="s">
        <v>47</v>
      </c>
      <c r="H3" s="18" t="s">
        <v>40</v>
      </c>
      <c r="I3" s="18" t="s">
        <v>48</v>
      </c>
      <c r="J3" s="18" t="s">
        <v>68</v>
      </c>
      <c r="K3" s="18" t="s">
        <v>48</v>
      </c>
      <c r="L3" s="13"/>
      <c r="M3" s="1" t="s">
        <v>9</v>
      </c>
      <c r="N3" s="11" t="s">
        <v>7</v>
      </c>
      <c r="O3" s="22">
        <f>C5*0.62</f>
        <v>8.3699999999999992</v>
      </c>
      <c r="P3" s="22">
        <f>E5*0.62</f>
        <v>2.36964</v>
      </c>
      <c r="Q3" s="3" t="s">
        <v>11</v>
      </c>
    </row>
    <row r="4" spans="1:17" ht="30" x14ac:dyDescent="0.25">
      <c r="A4" s="1" t="s">
        <v>0</v>
      </c>
      <c r="B4" s="25">
        <v>12.276999999999999</v>
      </c>
      <c r="C4" s="19">
        <v>15.7</v>
      </c>
      <c r="D4" s="19">
        <v>11.46</v>
      </c>
      <c r="E4" s="26">
        <v>0</v>
      </c>
      <c r="F4" s="26">
        <v>0</v>
      </c>
      <c r="G4" s="14">
        <f>B4/B$13</f>
        <v>0.1304870012541717</v>
      </c>
      <c r="H4" s="34">
        <f>C4/C$13</f>
        <v>0.17885623148781044</v>
      </c>
      <c r="I4" s="14">
        <f>D4/D$13</f>
        <v>0.12222696245733788</v>
      </c>
      <c r="J4" s="34">
        <f>E4/E$13</f>
        <v>0</v>
      </c>
      <c r="K4" s="14">
        <f>F4/F$13</f>
        <v>0</v>
      </c>
      <c r="L4" s="6"/>
      <c r="M4" s="1" t="s">
        <v>10</v>
      </c>
      <c r="N4" s="11" t="s">
        <v>7</v>
      </c>
      <c r="O4" s="23">
        <f>C5*0.38</f>
        <v>5.13</v>
      </c>
      <c r="P4" s="23">
        <f>E5*0.38</f>
        <v>1.4523600000000001</v>
      </c>
      <c r="Q4" s="3" t="s">
        <v>12</v>
      </c>
    </row>
    <row r="5" spans="1:17" ht="30" x14ac:dyDescent="0.25">
      <c r="A5" s="1" t="s">
        <v>1</v>
      </c>
      <c r="B5" s="25">
        <v>15.858000000000001</v>
      </c>
      <c r="C5" s="19">
        <v>13.5</v>
      </c>
      <c r="D5" s="19">
        <v>13.5</v>
      </c>
      <c r="E5" s="26">
        <v>3.8220000000000001</v>
      </c>
      <c r="F5" s="26">
        <v>14.5</v>
      </c>
      <c r="G5" s="14">
        <f>B5/B$13</f>
        <v>0.16854792423952555</v>
      </c>
      <c r="H5" s="34">
        <f>C5/C$13</f>
        <v>0.15379357484620643</v>
      </c>
      <c r="I5" s="14">
        <f>D5/D$13</f>
        <v>0.14398464163822525</v>
      </c>
      <c r="J5" s="34">
        <f>E5/E$13</f>
        <v>2.3920689957315777E-2</v>
      </c>
      <c r="K5" s="14">
        <f>F5/F$13</f>
        <v>0.13388734995383195</v>
      </c>
      <c r="L5" s="6"/>
      <c r="M5" s="1" t="s">
        <v>30</v>
      </c>
      <c r="N5" s="11" t="s">
        <v>7</v>
      </c>
      <c r="O5" s="23">
        <f>C6</f>
        <v>0.05</v>
      </c>
      <c r="P5" s="23">
        <f>E6</f>
        <v>0.50700000000000001</v>
      </c>
      <c r="Q5" s="9"/>
    </row>
    <row r="6" spans="1:17" ht="30" x14ac:dyDescent="0.25">
      <c r="A6" s="1" t="s">
        <v>29</v>
      </c>
      <c r="B6" s="25">
        <v>0.99</v>
      </c>
      <c r="C6" s="19">
        <v>0.05</v>
      </c>
      <c r="D6" s="19">
        <v>0</v>
      </c>
      <c r="E6" s="26">
        <v>0.50700000000000001</v>
      </c>
      <c r="F6" s="26">
        <v>0</v>
      </c>
      <c r="G6" s="14">
        <f>B6/B$13</f>
        <v>1.0522288119380142E-2</v>
      </c>
      <c r="H6" s="37">
        <f>C6/C$13</f>
        <v>5.6960583276372749E-4</v>
      </c>
      <c r="I6" s="38">
        <f>D6/D$13</f>
        <v>0</v>
      </c>
      <c r="J6" s="37">
        <f>E6/E$13</f>
        <v>3.1731527494398481E-3</v>
      </c>
      <c r="K6" s="14">
        <f>F6/F$13</f>
        <v>0</v>
      </c>
      <c r="L6" s="6"/>
      <c r="M6" s="1" t="s">
        <v>16</v>
      </c>
      <c r="N6" s="11" t="s">
        <v>7</v>
      </c>
      <c r="O6" s="23">
        <f>C7</f>
        <v>5.03</v>
      </c>
      <c r="P6" s="23">
        <f>E7</f>
        <v>2.6160000000000001</v>
      </c>
    </row>
    <row r="7" spans="1:17" ht="30" x14ac:dyDescent="0.25">
      <c r="A7" s="1" t="s">
        <v>2</v>
      </c>
      <c r="B7" s="25">
        <v>4.3479999999999999</v>
      </c>
      <c r="C7" s="19">
        <v>5.03</v>
      </c>
      <c r="D7" s="19">
        <v>7.3</v>
      </c>
      <c r="E7" s="19">
        <v>2.6160000000000001</v>
      </c>
      <c r="F7" s="19">
        <v>9.4</v>
      </c>
      <c r="G7" s="14">
        <f>B7/B$13</f>
        <v>4.6213039134408947E-2</v>
      </c>
      <c r="H7" s="34">
        <f>C7/C$13</f>
        <v>5.7302346776030987E-2</v>
      </c>
      <c r="I7" s="14">
        <f>D7/D$13</f>
        <v>7.785836177474402E-2</v>
      </c>
      <c r="J7" s="34">
        <f>E7/E$13</f>
        <v>1.6372717145038743E-2</v>
      </c>
      <c r="K7" s="14">
        <f>F7/F$13</f>
        <v>8.6795937211449681E-2</v>
      </c>
      <c r="L7" s="6"/>
      <c r="M7" s="1" t="s">
        <v>20</v>
      </c>
      <c r="N7" s="11" t="s">
        <v>7</v>
      </c>
      <c r="O7" s="23">
        <v>0</v>
      </c>
      <c r="P7" s="23">
        <v>0</v>
      </c>
    </row>
    <row r="8" spans="1:17" ht="30" x14ac:dyDescent="0.25">
      <c r="A8" s="1" t="s">
        <v>3</v>
      </c>
      <c r="B8" s="4">
        <v>0</v>
      </c>
      <c r="C8" s="19">
        <v>0</v>
      </c>
      <c r="D8" s="19">
        <v>0</v>
      </c>
      <c r="E8" s="19">
        <v>0</v>
      </c>
      <c r="F8" s="19">
        <v>0</v>
      </c>
      <c r="G8" s="14">
        <f>B8/B$13</f>
        <v>0</v>
      </c>
      <c r="H8" s="34">
        <f>C8/C$13</f>
        <v>0</v>
      </c>
      <c r="I8" s="14">
        <f>D8/D$13</f>
        <v>0</v>
      </c>
      <c r="J8" s="34">
        <f>E8/E$13</f>
        <v>0</v>
      </c>
      <c r="K8" s="14">
        <f>F8/F$13</f>
        <v>0</v>
      </c>
      <c r="L8" s="6"/>
      <c r="M8" s="1" t="s">
        <v>21</v>
      </c>
      <c r="N8" s="11" t="s">
        <v>7</v>
      </c>
      <c r="O8" s="23">
        <f>C$9*0</f>
        <v>0</v>
      </c>
      <c r="P8" s="23">
        <f>E$9*0.39</f>
        <v>6.5894400000000006</v>
      </c>
      <c r="Q8" s="3" t="s">
        <v>74</v>
      </c>
    </row>
    <row r="9" spans="1:17" ht="30" x14ac:dyDescent="0.25">
      <c r="A9" s="1" t="s">
        <v>4</v>
      </c>
      <c r="B9" s="4">
        <v>19.744</v>
      </c>
      <c r="C9" s="19">
        <v>19.7</v>
      </c>
      <c r="D9" s="19">
        <v>25</v>
      </c>
      <c r="E9" s="19">
        <v>16.896000000000001</v>
      </c>
      <c r="F9" s="19">
        <v>22.9</v>
      </c>
      <c r="G9" s="14">
        <f>B9/B$13</f>
        <v>0.2098505622515571</v>
      </c>
      <c r="H9" s="34">
        <f>C9/C$13</f>
        <v>0.22442469810890864</v>
      </c>
      <c r="I9" s="14">
        <f>D9/D$13</f>
        <v>0.26663822525597269</v>
      </c>
      <c r="J9" s="34">
        <f>E9/E$13</f>
        <v>0.10574672357896582</v>
      </c>
      <c r="K9" s="14">
        <f>F9/F$13</f>
        <v>0.21144967682363802</v>
      </c>
      <c r="L9" s="6"/>
      <c r="M9" s="1" t="s">
        <v>22</v>
      </c>
      <c r="N9" s="11" t="s">
        <v>7</v>
      </c>
      <c r="O9" s="23">
        <f>C$9*0</f>
        <v>0</v>
      </c>
      <c r="P9" s="23">
        <f>E$9*0</f>
        <v>0</v>
      </c>
      <c r="Q9" s="3"/>
    </row>
    <row r="10" spans="1:17" ht="30" x14ac:dyDescent="0.25">
      <c r="A10" s="1" t="s">
        <v>5</v>
      </c>
      <c r="B10" s="4">
        <v>16.567</v>
      </c>
      <c r="C10" s="19">
        <v>11.6</v>
      </c>
      <c r="D10" s="19">
        <v>19.8</v>
      </c>
      <c r="E10" s="19">
        <v>92.997</v>
      </c>
      <c r="F10" s="19">
        <v>42.7</v>
      </c>
      <c r="G10" s="14">
        <f>B10/B$13</f>
        <v>0.176083583104819</v>
      </c>
      <c r="H10" s="34">
        <f>C10/C$13</f>
        <v>0.13214855320118477</v>
      </c>
      <c r="I10" s="14">
        <f>D10/D$13</f>
        <v>0.21117747440273038</v>
      </c>
      <c r="J10" s="34">
        <f>E10/E$13</f>
        <v>0.5820388288750642</v>
      </c>
      <c r="K10" s="14">
        <f>F10/F$13</f>
        <v>0.39427516158818099</v>
      </c>
      <c r="L10" s="6"/>
      <c r="M10" s="1" t="s">
        <v>23</v>
      </c>
      <c r="N10" s="11" t="s">
        <v>7</v>
      </c>
      <c r="O10" s="23">
        <f>C$9*0.46</f>
        <v>9.0619999999999994</v>
      </c>
      <c r="P10" s="23">
        <f>E$9*0.29</f>
        <v>4.8998400000000002</v>
      </c>
      <c r="Q10" s="3" t="s">
        <v>75</v>
      </c>
    </row>
    <row r="11" spans="1:17" ht="30" x14ac:dyDescent="0.25">
      <c r="A11" s="1" t="s">
        <v>6</v>
      </c>
      <c r="B11" s="4">
        <v>23.831</v>
      </c>
      <c r="C11" s="19">
        <v>22.2</v>
      </c>
      <c r="D11" s="19">
        <v>16.7</v>
      </c>
      <c r="E11" s="19">
        <v>42.554000000000002</v>
      </c>
      <c r="F11" s="19">
        <v>18.8</v>
      </c>
      <c r="G11" s="14">
        <f>B11/B$13</f>
        <v>0.25328954360903855</v>
      </c>
      <c r="H11" s="34">
        <f>C11/C$13</f>
        <v>0.25290498974709502</v>
      </c>
      <c r="I11" s="14">
        <f>D11/D$13</f>
        <v>0.17811433447098973</v>
      </c>
      <c r="J11" s="34">
        <f>E11/E$13</f>
        <v>0.26633203569953312</v>
      </c>
      <c r="K11" s="14">
        <f>F11/F$13</f>
        <v>0.17359187442289936</v>
      </c>
      <c r="L11" s="6"/>
      <c r="M11" s="1" t="s">
        <v>24</v>
      </c>
      <c r="N11" s="11" t="s">
        <v>7</v>
      </c>
      <c r="O11" s="23">
        <f>C$9*0</f>
        <v>0</v>
      </c>
      <c r="P11" s="23">
        <f>E$9*0</f>
        <v>0</v>
      </c>
      <c r="Q11" s="3"/>
    </row>
    <row r="12" spans="1:17" ht="30" x14ac:dyDescent="0.25">
      <c r="A12" s="1" t="s">
        <v>42</v>
      </c>
      <c r="B12" s="4">
        <v>0.47099999999999997</v>
      </c>
      <c r="C12" s="19">
        <v>0</v>
      </c>
      <c r="D12" s="19">
        <v>0</v>
      </c>
      <c r="E12" s="19">
        <v>0.38600000000000001</v>
      </c>
      <c r="F12" s="19">
        <v>0</v>
      </c>
      <c r="G12" s="14">
        <f>B12/B$13</f>
        <v>5.0060582870990371E-3</v>
      </c>
      <c r="H12" s="34">
        <f>C12/C$13</f>
        <v>0</v>
      </c>
      <c r="I12" s="14">
        <f>D12/D$13</f>
        <v>0</v>
      </c>
      <c r="J12" s="37">
        <f>E12/E$13</f>
        <v>2.4158519946425668E-3</v>
      </c>
      <c r="K12" s="14">
        <f>F12/F$13</f>
        <v>0</v>
      </c>
      <c r="L12" s="6"/>
      <c r="M12" s="1" t="s">
        <v>13</v>
      </c>
      <c r="N12" s="11" t="s">
        <v>7</v>
      </c>
      <c r="O12" s="23">
        <f>C$9*0.54</f>
        <v>10.638</v>
      </c>
      <c r="P12" s="23">
        <f>E$9*0.33</f>
        <v>5.5756800000000002</v>
      </c>
      <c r="Q12" s="3" t="s">
        <v>76</v>
      </c>
    </row>
    <row r="13" spans="1:17" ht="30" x14ac:dyDescent="0.25">
      <c r="A13" s="1" t="s">
        <v>35</v>
      </c>
      <c r="B13" s="24">
        <f>SUM(B4:B12)</f>
        <v>94.085999999999999</v>
      </c>
      <c r="C13" s="24">
        <f>SUM(C4:C12)</f>
        <v>87.78</v>
      </c>
      <c r="D13" s="24">
        <f>SUM(D4:D12)</f>
        <v>93.76</v>
      </c>
      <c r="E13" s="24">
        <f>SUM(E4:E12)</f>
        <v>159.77799999999999</v>
      </c>
      <c r="F13" s="24">
        <f>SUM(F4:F12)</f>
        <v>108.3</v>
      </c>
      <c r="G13" s="5">
        <f>SUM(G4:G12)</f>
        <v>1</v>
      </c>
      <c r="H13" s="36">
        <f>SUM(H4:H12)</f>
        <v>1</v>
      </c>
      <c r="I13" s="5">
        <f>SUM(I4:I12)</f>
        <v>1</v>
      </c>
      <c r="J13" s="36">
        <f>SUM(J4:J12)</f>
        <v>1.0000000000000002</v>
      </c>
      <c r="K13" s="5">
        <f>SUM(K4:K12)</f>
        <v>1</v>
      </c>
      <c r="L13" s="2"/>
      <c r="M13" s="1" t="s">
        <v>14</v>
      </c>
      <c r="N13" s="11" t="s">
        <v>7</v>
      </c>
      <c r="O13" s="23">
        <f>C10</f>
        <v>11.6</v>
      </c>
      <c r="P13" s="23">
        <f>E10</f>
        <v>92.997</v>
      </c>
    </row>
    <row r="14" spans="1:17" ht="30" x14ac:dyDescent="0.25">
      <c r="A14" s="1"/>
      <c r="B14" s="1"/>
      <c r="C14" s="1"/>
      <c r="D14" s="1"/>
      <c r="E14" s="1"/>
      <c r="F14" s="1"/>
      <c r="G14" s="2"/>
      <c r="H14" s="2"/>
      <c r="I14" s="2"/>
      <c r="J14" s="2"/>
      <c r="K14" s="2"/>
      <c r="L14" s="2"/>
      <c r="M14" s="1" t="s">
        <v>15</v>
      </c>
      <c r="N14" s="11" t="s">
        <v>7</v>
      </c>
      <c r="O14" s="23">
        <f>C11</f>
        <v>22.2</v>
      </c>
      <c r="P14" s="23">
        <f>E11</f>
        <v>42.554000000000002</v>
      </c>
    </row>
    <row r="15" spans="1:17" ht="30" x14ac:dyDescent="0.25">
      <c r="A15" s="1"/>
      <c r="B15" s="1"/>
      <c r="C15" s="1"/>
      <c r="D15" s="1"/>
      <c r="E15" s="1"/>
      <c r="F15" s="1"/>
      <c r="G15" s="2"/>
      <c r="H15" s="2"/>
      <c r="I15" s="2"/>
      <c r="J15" s="2"/>
      <c r="K15" s="2"/>
      <c r="L15" s="2"/>
      <c r="M15" s="1" t="s">
        <v>44</v>
      </c>
      <c r="N15" s="11" t="s">
        <v>7</v>
      </c>
      <c r="O15" s="23">
        <f>C12</f>
        <v>0</v>
      </c>
      <c r="P15" s="23">
        <f>E12</f>
        <v>0.38600000000000001</v>
      </c>
    </row>
    <row r="16" spans="1:17" x14ac:dyDescent="0.25">
      <c r="A16" s="1"/>
      <c r="B16" s="1"/>
      <c r="C16" s="1"/>
      <c r="D16" s="1"/>
      <c r="E16" s="1"/>
      <c r="F16" s="1"/>
      <c r="G16" s="2"/>
      <c r="H16" s="2"/>
      <c r="I16" s="2"/>
      <c r="J16" s="2"/>
      <c r="K16" s="2"/>
      <c r="L16" s="2"/>
    </row>
    <row r="17" spans="1:12" x14ac:dyDescent="0.25">
      <c r="A17" s="1" t="s">
        <v>31</v>
      </c>
    </row>
    <row r="18" spans="1:12" x14ac:dyDescent="0.25">
      <c r="A18" t="s">
        <v>69</v>
      </c>
    </row>
    <row r="19" spans="1:12" x14ac:dyDescent="0.25">
      <c r="A19" t="s">
        <v>34</v>
      </c>
    </row>
    <row r="20" spans="1:12" x14ac:dyDescent="0.25">
      <c r="A20" t="s">
        <v>49</v>
      </c>
    </row>
    <row r="23" spans="1:12" x14ac:dyDescent="0.25">
      <c r="D23" t="s">
        <v>52</v>
      </c>
      <c r="E23">
        <v>2177204.7037597834</v>
      </c>
      <c r="F23">
        <f>E23/1000000</f>
        <v>2.1772047037597835</v>
      </c>
      <c r="J23" s="6" t="s">
        <v>71</v>
      </c>
      <c r="K23" s="6" t="s">
        <v>72</v>
      </c>
    </row>
    <row r="24" spans="1:12" x14ac:dyDescent="0.25">
      <c r="D24" s="27" t="s">
        <v>53</v>
      </c>
      <c r="E24" s="27">
        <v>5275556.0656347536</v>
      </c>
      <c r="F24" s="27">
        <f t="shared" ref="F24:F38" si="0">E24/1000000</f>
        <v>5.2755560656347535</v>
      </c>
      <c r="J24" s="6" t="s">
        <v>52</v>
      </c>
      <c r="K24" s="6">
        <v>15401219.945291011</v>
      </c>
      <c r="L24">
        <f>K24/1000000</f>
        <v>15.401219945291011</v>
      </c>
    </row>
    <row r="25" spans="1:12" x14ac:dyDescent="0.25">
      <c r="D25" s="27" t="s">
        <v>54</v>
      </c>
      <c r="E25" s="27">
        <v>12090277.105870459</v>
      </c>
      <c r="F25" s="27">
        <f t="shared" si="0"/>
        <v>12.090277105870459</v>
      </c>
      <c r="J25" s="6" t="s">
        <v>53</v>
      </c>
      <c r="K25" s="6">
        <v>2851049.345478782</v>
      </c>
      <c r="L25">
        <f t="shared" ref="L25:L39" si="1">K25/1000000</f>
        <v>2.8510493454787817</v>
      </c>
    </row>
    <row r="26" spans="1:12" x14ac:dyDescent="0.25">
      <c r="D26" t="s">
        <v>55</v>
      </c>
      <c r="E26">
        <v>0</v>
      </c>
      <c r="F26">
        <f t="shared" si="0"/>
        <v>0</v>
      </c>
      <c r="J26" s="6" t="s">
        <v>54</v>
      </c>
      <c r="K26" s="6">
        <v>0</v>
      </c>
      <c r="L26">
        <f t="shared" si="1"/>
        <v>0</v>
      </c>
    </row>
    <row r="27" spans="1:12" x14ac:dyDescent="0.25">
      <c r="D27" t="s">
        <v>56</v>
      </c>
      <c r="E27">
        <v>0</v>
      </c>
      <c r="F27">
        <f t="shared" si="0"/>
        <v>0</v>
      </c>
      <c r="J27" s="6" t="s">
        <v>55</v>
      </c>
      <c r="K27" s="6">
        <v>0</v>
      </c>
      <c r="L27">
        <f t="shared" si="1"/>
        <v>0</v>
      </c>
    </row>
    <row r="28" spans="1:12" x14ac:dyDescent="0.25">
      <c r="D28" s="27" t="s">
        <v>57</v>
      </c>
      <c r="E28" s="27">
        <v>1057879.9226782725</v>
      </c>
      <c r="F28" s="27">
        <f t="shared" si="0"/>
        <v>1.0578799226782725</v>
      </c>
      <c r="J28" s="6" t="s">
        <v>56</v>
      </c>
      <c r="K28" s="6">
        <v>0</v>
      </c>
      <c r="L28">
        <f t="shared" si="1"/>
        <v>0</v>
      </c>
    </row>
    <row r="29" spans="1:12" x14ac:dyDescent="0.25">
      <c r="D29" s="27" t="s">
        <v>58</v>
      </c>
      <c r="E29" s="27">
        <v>17258733.048158254</v>
      </c>
      <c r="F29" s="27">
        <f t="shared" si="0"/>
        <v>17.258733048158255</v>
      </c>
      <c r="J29" s="6" t="s">
        <v>57</v>
      </c>
      <c r="K29" s="6">
        <v>527913.4296155459</v>
      </c>
      <c r="L29">
        <f t="shared" si="1"/>
        <v>0.52791342961554588</v>
      </c>
    </row>
    <row r="30" spans="1:12" x14ac:dyDescent="0.25">
      <c r="D30" t="s">
        <v>59</v>
      </c>
      <c r="E30">
        <v>0</v>
      </c>
      <c r="F30">
        <f t="shared" si="0"/>
        <v>0</v>
      </c>
      <c r="J30" s="6" t="s">
        <v>58</v>
      </c>
      <c r="K30" s="6">
        <v>94338801.473444849</v>
      </c>
      <c r="L30">
        <f t="shared" si="1"/>
        <v>94.338801473444846</v>
      </c>
    </row>
    <row r="31" spans="1:12" x14ac:dyDescent="0.25">
      <c r="D31" s="27" t="s">
        <v>60</v>
      </c>
      <c r="E31" s="27">
        <v>550923.93363228918</v>
      </c>
      <c r="F31" s="27">
        <f t="shared" si="0"/>
        <v>0.5509239336322892</v>
      </c>
      <c r="J31" s="6" t="s">
        <v>59</v>
      </c>
      <c r="K31" s="6">
        <v>0</v>
      </c>
      <c r="L31">
        <f t="shared" si="1"/>
        <v>0</v>
      </c>
    </row>
    <row r="32" spans="1:12" x14ac:dyDescent="0.25">
      <c r="D32" t="s">
        <v>61</v>
      </c>
      <c r="E32">
        <v>15897502.803012408</v>
      </c>
      <c r="F32">
        <f t="shared" si="0"/>
        <v>15.897502803012408</v>
      </c>
      <c r="J32" s="6" t="s">
        <v>60</v>
      </c>
      <c r="K32" s="6">
        <v>401257.72217520315</v>
      </c>
      <c r="L32">
        <f t="shared" si="1"/>
        <v>0.40125772217520317</v>
      </c>
    </row>
    <row r="33" spans="4:13" x14ac:dyDescent="0.25">
      <c r="D33" t="s">
        <v>62</v>
      </c>
      <c r="E33">
        <v>9076055.9216772262</v>
      </c>
      <c r="F33">
        <f t="shared" si="0"/>
        <v>9.0760559216772254</v>
      </c>
      <c r="G33" s="28">
        <f>F33+F34+F23</f>
        <v>23.88006397624892</v>
      </c>
      <c r="J33" s="6" t="s">
        <v>61</v>
      </c>
      <c r="K33" s="6">
        <v>3825362.0704686521</v>
      </c>
      <c r="L33">
        <f t="shared" si="1"/>
        <v>3.825362070468652</v>
      </c>
    </row>
    <row r="34" spans="4:13" x14ac:dyDescent="0.25">
      <c r="D34" t="s">
        <v>63</v>
      </c>
      <c r="E34">
        <v>12626803.350811912</v>
      </c>
      <c r="F34">
        <f t="shared" si="0"/>
        <v>12.626803350811912</v>
      </c>
      <c r="J34" s="6" t="s">
        <v>62</v>
      </c>
      <c r="K34" s="6">
        <v>4939590.0437911693</v>
      </c>
      <c r="L34">
        <f t="shared" si="1"/>
        <v>4.9395900437911697</v>
      </c>
      <c r="M34">
        <f>L34+L35+L24</f>
        <v>27.661925084673918</v>
      </c>
    </row>
    <row r="35" spans="4:13" x14ac:dyDescent="0.25">
      <c r="D35" s="27" t="s">
        <v>64</v>
      </c>
      <c r="E35" s="27">
        <v>536424.49140561628</v>
      </c>
      <c r="F35" s="27">
        <f t="shared" si="0"/>
        <v>0.53642449140561632</v>
      </c>
      <c r="G35" s="28">
        <f>F35+F36</f>
        <v>27.347397091257108</v>
      </c>
      <c r="J35" s="6" t="s">
        <v>63</v>
      </c>
      <c r="K35" s="6">
        <v>7321115.0955917388</v>
      </c>
      <c r="L35">
        <f t="shared" si="1"/>
        <v>7.3211150955917388</v>
      </c>
    </row>
    <row r="36" spans="4:13" x14ac:dyDescent="0.25">
      <c r="D36" s="27" t="s">
        <v>65</v>
      </c>
      <c r="E36" s="27">
        <v>26810972.599851493</v>
      </c>
      <c r="F36" s="27">
        <f t="shared" si="0"/>
        <v>26.810972599851493</v>
      </c>
      <c r="G36" s="28"/>
      <c r="J36" s="6" t="s">
        <v>64</v>
      </c>
      <c r="K36" s="6">
        <v>457249.64046567777</v>
      </c>
      <c r="L36">
        <f t="shared" si="1"/>
        <v>0.45724964046567779</v>
      </c>
      <c r="M36">
        <f>L36+L37</f>
        <v>45.993154939278604</v>
      </c>
    </row>
    <row r="37" spans="4:13" x14ac:dyDescent="0.25">
      <c r="D37" t="s">
        <v>66</v>
      </c>
      <c r="F37">
        <f t="shared" si="0"/>
        <v>0</v>
      </c>
      <c r="J37" s="6" t="s">
        <v>65</v>
      </c>
      <c r="K37" s="6">
        <v>45535905.298812926</v>
      </c>
      <c r="L37">
        <f t="shared" si="1"/>
        <v>45.535905298812928</v>
      </c>
    </row>
    <row r="38" spans="4:13" x14ac:dyDescent="0.25">
      <c r="D38" t="s">
        <v>67</v>
      </c>
      <c r="E38">
        <v>103358333.94649246</v>
      </c>
      <c r="F38">
        <f t="shared" si="0"/>
        <v>103.35833394649246</v>
      </c>
      <c r="J38" s="6" t="s">
        <v>66</v>
      </c>
      <c r="L38">
        <f t="shared" si="1"/>
        <v>0</v>
      </c>
    </row>
    <row r="39" spans="4:13" x14ac:dyDescent="0.25">
      <c r="J39" s="6" t="s">
        <v>67</v>
      </c>
      <c r="K39" s="6">
        <v>175599464.06513554</v>
      </c>
      <c r="L39">
        <f t="shared" si="1"/>
        <v>175.59946406513555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44D7-92A7-4812-9E41-E5ED263E13BB}">
  <dimension ref="A1:M19"/>
  <sheetViews>
    <sheetView tabSelected="1" zoomScaleNormal="100" workbookViewId="0">
      <selection activeCell="I9" sqref="I9"/>
    </sheetView>
  </sheetViews>
  <sheetFormatPr defaultRowHeight="15" x14ac:dyDescent="0.25"/>
  <cols>
    <col min="1" max="1" width="14.42578125" customWidth="1"/>
    <col min="2" max="2" width="12.85546875" customWidth="1"/>
    <col min="3" max="3" width="12.140625" customWidth="1"/>
    <col min="4" max="4" width="16.42578125" customWidth="1"/>
    <col min="5" max="5" width="12.85546875" style="6" bestFit="1" customWidth="1"/>
    <col min="6" max="6" width="9.85546875" style="6" customWidth="1"/>
    <col min="7" max="7" width="12.42578125" style="6" bestFit="1" customWidth="1"/>
    <col min="8" max="8" width="12" bestFit="1" customWidth="1"/>
    <col min="9" max="9" width="42.85546875" bestFit="1" customWidth="1"/>
    <col min="10" max="10" width="9.5703125" customWidth="1"/>
  </cols>
  <sheetData>
    <row r="1" spans="1:13" x14ac:dyDescent="0.25">
      <c r="A1" s="1" t="s">
        <v>37</v>
      </c>
      <c r="B1" s="29" t="s">
        <v>33</v>
      </c>
      <c r="C1" s="29"/>
      <c r="D1" s="29"/>
      <c r="E1" s="30" t="s">
        <v>41</v>
      </c>
      <c r="F1" s="30"/>
      <c r="G1" s="30"/>
      <c r="H1" s="1"/>
      <c r="I1" s="1" t="s">
        <v>43</v>
      </c>
      <c r="J1" t="s">
        <v>17</v>
      </c>
      <c r="K1">
        <v>2025</v>
      </c>
      <c r="L1">
        <v>2035</v>
      </c>
      <c r="M1" t="s">
        <v>45</v>
      </c>
    </row>
    <row r="2" spans="1:13" s="11" customFormat="1" ht="30" x14ac:dyDescent="0.25">
      <c r="A2" s="11" t="s">
        <v>36</v>
      </c>
      <c r="B2" s="15">
        <v>2024</v>
      </c>
      <c r="C2" s="15">
        <v>2025</v>
      </c>
      <c r="D2" s="15">
        <v>2035</v>
      </c>
      <c r="E2" s="17">
        <v>2024</v>
      </c>
      <c r="F2" s="17">
        <v>2025</v>
      </c>
      <c r="G2" s="17">
        <v>2035</v>
      </c>
      <c r="H2" s="8"/>
      <c r="I2" s="1" t="s">
        <v>8</v>
      </c>
      <c r="J2" s="11" t="s">
        <v>7</v>
      </c>
      <c r="K2" s="22">
        <v>0</v>
      </c>
      <c r="L2" s="22">
        <v>0</v>
      </c>
    </row>
    <row r="3" spans="1:13" s="12" customFormat="1" ht="30" x14ac:dyDescent="0.25">
      <c r="A3" s="12" t="s">
        <v>38</v>
      </c>
      <c r="B3" s="16" t="s">
        <v>39</v>
      </c>
      <c r="C3" s="16" t="s">
        <v>40</v>
      </c>
      <c r="D3" s="16" t="s">
        <v>39</v>
      </c>
      <c r="E3" s="18" t="s">
        <v>39</v>
      </c>
      <c r="F3" s="18" t="s">
        <v>40</v>
      </c>
      <c r="G3" s="18" t="s">
        <v>39</v>
      </c>
      <c r="H3" s="13"/>
      <c r="I3" s="1" t="s">
        <v>9</v>
      </c>
      <c r="J3" s="11" t="s">
        <v>7</v>
      </c>
      <c r="K3" s="22">
        <f>C5</f>
        <v>8.51</v>
      </c>
      <c r="L3" s="22">
        <f>D5</f>
        <v>3.9982000000000002</v>
      </c>
      <c r="M3" s="21" t="s">
        <v>46</v>
      </c>
    </row>
    <row r="4" spans="1:13" ht="30" x14ac:dyDescent="0.25">
      <c r="A4" s="1" t="s">
        <v>0</v>
      </c>
      <c r="B4" s="6">
        <v>0</v>
      </c>
      <c r="C4" s="6">
        <v>0</v>
      </c>
      <c r="D4" s="19">
        <f>19.991*G4</f>
        <v>0</v>
      </c>
      <c r="E4" s="14">
        <f>B4/B$13</f>
        <v>0</v>
      </c>
      <c r="F4" s="34">
        <f>C4/C$13</f>
        <v>0</v>
      </c>
      <c r="G4" s="34">
        <v>0</v>
      </c>
      <c r="H4" s="6"/>
      <c r="I4" s="1" t="s">
        <v>10</v>
      </c>
      <c r="J4" s="11" t="s">
        <v>7</v>
      </c>
      <c r="K4" s="23">
        <v>0</v>
      </c>
      <c r="L4" s="23">
        <v>0</v>
      </c>
    </row>
    <row r="5" spans="1:13" ht="30" x14ac:dyDescent="0.25">
      <c r="A5" s="1" t="s">
        <v>1</v>
      </c>
      <c r="B5" s="6">
        <v>7.72</v>
      </c>
      <c r="C5" s="6">
        <v>8.51</v>
      </c>
      <c r="D5" s="19">
        <f t="shared" ref="D5:D12" si="0">19.991*G5</f>
        <v>3.9982000000000002</v>
      </c>
      <c r="E5" s="14">
        <f t="shared" ref="E5:F12" si="1">B5/B$13</f>
        <v>0.6597162878140489</v>
      </c>
      <c r="F5" s="34">
        <f t="shared" si="1"/>
        <v>0.62435803374908294</v>
      </c>
      <c r="G5" s="34">
        <v>0.2</v>
      </c>
      <c r="H5" s="6"/>
      <c r="I5" s="1" t="s">
        <v>30</v>
      </c>
      <c r="J5" s="11" t="s">
        <v>7</v>
      </c>
      <c r="K5" s="23">
        <f>C6</f>
        <v>0.2</v>
      </c>
      <c r="L5" s="23">
        <f>D6</f>
        <v>0</v>
      </c>
    </row>
    <row r="6" spans="1:13" ht="30" x14ac:dyDescent="0.25">
      <c r="A6" s="1" t="s">
        <v>29</v>
      </c>
      <c r="B6" s="6">
        <v>0</v>
      </c>
      <c r="C6" s="6">
        <v>0.2</v>
      </c>
      <c r="D6" s="19">
        <f t="shared" si="0"/>
        <v>0</v>
      </c>
      <c r="E6" s="14">
        <f t="shared" si="1"/>
        <v>0</v>
      </c>
      <c r="F6" s="34">
        <f t="shared" si="1"/>
        <v>1.467351430667645E-2</v>
      </c>
      <c r="G6" s="34">
        <v>0</v>
      </c>
      <c r="H6" s="6"/>
      <c r="I6" s="1" t="s">
        <v>16</v>
      </c>
      <c r="J6" s="11" t="s">
        <v>7</v>
      </c>
      <c r="K6" s="23">
        <f t="shared" ref="K6:L7" si="2">C7</f>
        <v>0.44</v>
      </c>
      <c r="L6" s="23">
        <f t="shared" si="2"/>
        <v>0.39982000000000001</v>
      </c>
    </row>
    <row r="7" spans="1:13" ht="30" x14ac:dyDescent="0.25">
      <c r="A7" s="1" t="s">
        <v>2</v>
      </c>
      <c r="B7" s="6">
        <v>0.28699999999999998</v>
      </c>
      <c r="C7" s="6">
        <v>0.44</v>
      </c>
      <c r="D7" s="19">
        <f t="shared" si="0"/>
        <v>0.39982000000000001</v>
      </c>
      <c r="E7" s="14">
        <f t="shared" si="1"/>
        <v>2.4525722098786531E-2</v>
      </c>
      <c r="F7" s="34">
        <f t="shared" si="1"/>
        <v>3.2281731474688193E-2</v>
      </c>
      <c r="G7" s="34">
        <v>0.02</v>
      </c>
      <c r="H7" s="6"/>
      <c r="I7" s="1" t="s">
        <v>20</v>
      </c>
      <c r="J7" s="11" t="s">
        <v>7</v>
      </c>
      <c r="K7" s="23">
        <f t="shared" si="2"/>
        <v>0</v>
      </c>
      <c r="L7" s="23">
        <f t="shared" si="2"/>
        <v>0</v>
      </c>
    </row>
    <row r="8" spans="1:13" ht="30" x14ac:dyDescent="0.25">
      <c r="A8" s="1" t="s">
        <v>3</v>
      </c>
      <c r="B8" s="6">
        <v>0</v>
      </c>
      <c r="C8" s="6">
        <v>0</v>
      </c>
      <c r="D8" s="19">
        <f t="shared" si="0"/>
        <v>0</v>
      </c>
      <c r="E8" s="14">
        <f t="shared" si="1"/>
        <v>0</v>
      </c>
      <c r="F8" s="34">
        <f t="shared" si="1"/>
        <v>0</v>
      </c>
      <c r="G8" s="34">
        <v>0</v>
      </c>
      <c r="H8" s="6"/>
      <c r="I8" s="1" t="s">
        <v>21</v>
      </c>
      <c r="J8" s="11" t="s">
        <v>7</v>
      </c>
      <c r="K8" s="23">
        <v>0</v>
      </c>
      <c r="L8" s="23">
        <v>0</v>
      </c>
    </row>
    <row r="9" spans="1:13" ht="30" x14ac:dyDescent="0.25">
      <c r="A9" s="1" t="s">
        <v>4</v>
      </c>
      <c r="B9" s="6">
        <v>2.85</v>
      </c>
      <c r="C9" s="6">
        <v>3.8</v>
      </c>
      <c r="D9" s="19">
        <f t="shared" si="0"/>
        <v>7.9964000000000004</v>
      </c>
      <c r="E9" s="14">
        <f t="shared" si="1"/>
        <v>0.24354811143394292</v>
      </c>
      <c r="F9" s="34">
        <f t="shared" si="1"/>
        <v>0.27879677182685253</v>
      </c>
      <c r="G9" s="34">
        <v>0.4</v>
      </c>
      <c r="H9" s="6"/>
      <c r="I9" s="1" t="s">
        <v>22</v>
      </c>
      <c r="J9" s="11" t="s">
        <v>7</v>
      </c>
      <c r="K9" s="23">
        <v>0</v>
      </c>
      <c r="L9" s="23">
        <v>0</v>
      </c>
    </row>
    <row r="10" spans="1:13" ht="30" x14ac:dyDescent="0.25">
      <c r="A10" s="1" t="s">
        <v>5</v>
      </c>
      <c r="B10" s="6">
        <v>0.496</v>
      </c>
      <c r="C10" s="6">
        <v>0.28000000000000003</v>
      </c>
      <c r="D10" s="19">
        <f t="shared" si="0"/>
        <v>2.79874</v>
      </c>
      <c r="E10" s="14">
        <f t="shared" si="1"/>
        <v>4.2385916937275676E-2</v>
      </c>
      <c r="F10" s="34">
        <f t="shared" si="1"/>
        <v>2.0542920029347031E-2</v>
      </c>
      <c r="G10" s="34">
        <v>0.14000000000000001</v>
      </c>
      <c r="H10" s="6"/>
      <c r="I10" s="1" t="s">
        <v>23</v>
      </c>
      <c r="J10" s="11" t="s">
        <v>7</v>
      </c>
      <c r="K10" s="23">
        <v>0</v>
      </c>
      <c r="L10" s="23">
        <v>0</v>
      </c>
    </row>
    <row r="11" spans="1:13" ht="30" x14ac:dyDescent="0.25">
      <c r="A11" s="1" t="s">
        <v>6</v>
      </c>
      <c r="B11" s="6">
        <v>0.34899999999999998</v>
      </c>
      <c r="C11" s="6">
        <v>0.4</v>
      </c>
      <c r="D11" s="19">
        <f t="shared" si="0"/>
        <v>3.9982000000000002</v>
      </c>
      <c r="E11" s="14">
        <f t="shared" si="1"/>
        <v>2.982396171594599E-2</v>
      </c>
      <c r="F11" s="34">
        <f t="shared" si="1"/>
        <v>2.93470286133529E-2</v>
      </c>
      <c r="G11" s="34">
        <v>0.2</v>
      </c>
      <c r="H11" s="6"/>
      <c r="I11" s="1" t="s">
        <v>24</v>
      </c>
      <c r="J11" s="11" t="s">
        <v>7</v>
      </c>
      <c r="K11" s="23">
        <v>0</v>
      </c>
      <c r="L11" s="23">
        <v>0</v>
      </c>
    </row>
    <row r="12" spans="1:13" ht="30" x14ac:dyDescent="0.25">
      <c r="A12" s="1" t="s">
        <v>42</v>
      </c>
      <c r="B12" s="6">
        <v>0</v>
      </c>
      <c r="C12" s="6">
        <v>0</v>
      </c>
      <c r="D12" s="19">
        <f t="shared" si="0"/>
        <v>0.79964000000000002</v>
      </c>
      <c r="E12" s="14">
        <f t="shared" si="1"/>
        <v>0</v>
      </c>
      <c r="F12" s="34">
        <f t="shared" si="1"/>
        <v>0</v>
      </c>
      <c r="G12" s="34">
        <v>0.04</v>
      </c>
      <c r="H12" s="6"/>
      <c r="I12" s="1" t="s">
        <v>13</v>
      </c>
      <c r="J12" s="11" t="s">
        <v>7</v>
      </c>
      <c r="K12" s="23">
        <f>C9</f>
        <v>3.8</v>
      </c>
      <c r="L12" s="23">
        <f>D9</f>
        <v>7.9964000000000004</v>
      </c>
      <c r="M12" s="3" t="s">
        <v>73</v>
      </c>
    </row>
    <row r="13" spans="1:13" ht="30" x14ac:dyDescent="0.25">
      <c r="A13" s="1" t="s">
        <v>35</v>
      </c>
      <c r="B13" s="2">
        <f>SUM(B4:B12)</f>
        <v>11.702</v>
      </c>
      <c r="C13" s="2">
        <f>SUM(C4:C12)</f>
        <v>13.629999999999999</v>
      </c>
      <c r="D13" s="20">
        <f>SUM(D4:D12)</f>
        <v>19.991</v>
      </c>
      <c r="E13" s="5">
        <f>SUM(E4:E12)</f>
        <v>1</v>
      </c>
      <c r="F13" s="35">
        <f t="shared" ref="F13:G13" si="3">SUM(F4:F12)</f>
        <v>0.99999999999999989</v>
      </c>
      <c r="G13" s="35">
        <f t="shared" si="3"/>
        <v>1</v>
      </c>
      <c r="H13" s="2"/>
      <c r="I13" s="1" t="s">
        <v>14</v>
      </c>
      <c r="J13" s="11" t="s">
        <v>7</v>
      </c>
      <c r="K13" s="23">
        <f>C10</f>
        <v>0.28000000000000003</v>
      </c>
      <c r="L13" s="23">
        <f>D10</f>
        <v>2.79874</v>
      </c>
    </row>
    <row r="14" spans="1:13" ht="30" x14ac:dyDescent="0.25">
      <c r="A14" s="1"/>
      <c r="B14" s="1"/>
      <c r="C14" s="1"/>
      <c r="D14" s="1"/>
      <c r="E14" s="2"/>
      <c r="F14" s="2"/>
      <c r="G14" s="2"/>
      <c r="H14" s="2"/>
      <c r="I14" s="1" t="s">
        <v>15</v>
      </c>
      <c r="J14" s="11" t="s">
        <v>7</v>
      </c>
      <c r="K14" s="23">
        <f t="shared" ref="K14:L14" si="4">C11</f>
        <v>0.4</v>
      </c>
      <c r="L14" s="23">
        <f t="shared" si="4"/>
        <v>3.9982000000000002</v>
      </c>
    </row>
    <row r="15" spans="1:13" ht="30" x14ac:dyDescent="0.25">
      <c r="A15" s="1"/>
      <c r="B15" s="1"/>
      <c r="C15" s="1"/>
      <c r="D15" s="1"/>
      <c r="E15" s="2"/>
      <c r="F15" s="2"/>
      <c r="G15" s="2"/>
      <c r="H15" s="2"/>
      <c r="I15" s="1" t="s">
        <v>44</v>
      </c>
      <c r="J15" s="11" t="s">
        <v>7</v>
      </c>
      <c r="K15" s="23">
        <f t="shared" ref="K15:L15" si="5">C12</f>
        <v>0</v>
      </c>
      <c r="L15" s="23">
        <f t="shared" si="5"/>
        <v>0.79964000000000002</v>
      </c>
    </row>
    <row r="16" spans="1:13" x14ac:dyDescent="0.25">
      <c r="A16" s="1"/>
      <c r="B16" s="1"/>
      <c r="C16" s="1"/>
      <c r="D16" s="1"/>
      <c r="E16" s="2"/>
      <c r="F16" s="2"/>
      <c r="G16" s="2"/>
      <c r="H16" s="2"/>
    </row>
    <row r="17" spans="1:1" x14ac:dyDescent="0.25">
      <c r="A17" s="1" t="s">
        <v>31</v>
      </c>
    </row>
    <row r="18" spans="1:1" x14ac:dyDescent="0.25">
      <c r="A18" t="s">
        <v>32</v>
      </c>
    </row>
    <row r="19" spans="1:1" x14ac:dyDescent="0.25">
      <c r="A19" t="s">
        <v>34</v>
      </c>
    </row>
  </sheetData>
  <mergeCells count="2">
    <mergeCell ref="B1:D1"/>
    <mergeCell ref="E1:G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</vt:lpstr>
      <vt:lpstr>CL</vt:lpstr>
      <vt:lpstr>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Istrate, I.R. (Robert)</dc:creator>
  <cp:lastModifiedBy>Istrate, I.R. (Robert)</cp:lastModifiedBy>
  <dcterms:created xsi:type="dcterms:W3CDTF">2015-06-05T18:19:34Z</dcterms:created>
  <dcterms:modified xsi:type="dcterms:W3CDTF">2026-05-29T14:55:15Z</dcterms:modified>
</cp:coreProperties>
</file>